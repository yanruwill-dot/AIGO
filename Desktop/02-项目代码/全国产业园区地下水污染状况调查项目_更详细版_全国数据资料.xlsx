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看板" sheetId="1" state="visible" r:id="rId1"/>
    <sheet xmlns:r="http://schemas.openxmlformats.org/officeDocument/2006/relationships" name="全国主线" sheetId="2" state="visible" r:id="rId2"/>
    <sheet xmlns:r="http://schemas.openxmlformats.org/officeDocument/2006/relationships" name="项目主表" sheetId="3" state="visible" r:id="rId3"/>
    <sheet xmlns:r="http://schemas.openxmlformats.org/officeDocument/2006/relationships" name="省份量化对比" sheetId="4" state="visible" r:id="rId4"/>
    <sheet xmlns:r="http://schemas.openxmlformats.org/officeDocument/2006/relationships" name="采购工作量拆解" sheetId="5" state="visible" r:id="rId5"/>
    <sheet xmlns:r="http://schemas.openxmlformats.org/officeDocument/2006/relationships" name="方法论字段" sheetId="6" state="visible" r:id="rId6"/>
    <sheet xmlns:r="http://schemas.openxmlformats.org/officeDocument/2006/relationships" name="来源索引"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color rgb="00FFFFFF"/>
      <sz val="16"/>
    </font>
    <font>
      <i val="1"/>
      <color rgb="00111827"/>
    </font>
  </fonts>
  <fills count="5">
    <fill>
      <patternFill/>
    </fill>
    <fill>
      <patternFill patternType="gray125"/>
    </fill>
    <fill>
      <patternFill patternType="solid">
        <fgColor rgb="000B1F33"/>
      </patternFill>
    </fill>
    <fill>
      <patternFill patternType="solid">
        <fgColor rgb="00EAF2F8"/>
      </patternFill>
    </fill>
    <fill>
      <patternFill patternType="solid">
        <fgColor rgb="001F4E7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3"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4" fillId="3"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披露数量口径对比（园区/对象数）</a:t>
            </a:r>
          </a:p>
        </rich>
      </tx>
    </title>
    <plotArea>
      <barChart>
        <barDir val="bar"/>
        <grouping val="clustered"/>
        <ser>
          <idx val="0"/>
          <order val="0"/>
          <tx>
            <strRef>
              <f>'省份量化对比'!B1</f>
            </strRef>
          </tx>
          <spPr>
            <a:ln xmlns:a="http://schemas.openxmlformats.org/drawingml/2006/main">
              <a:prstDash val="solid"/>
            </a:ln>
          </spPr>
          <cat>
            <numRef>
              <f>'省份量化对比'!$A$2:$A$11</f>
            </numRef>
          </cat>
          <val>
            <numRef>
              <f>'省份量化对比'!$B$2:$B$11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数量</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项目</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披露预算/合同额（万元）</a:t>
            </a:r>
          </a:p>
        </rich>
      </tx>
    </title>
    <plotArea>
      <barChart>
        <barDir val="col"/>
        <grouping val="clustered"/>
        <ser>
          <idx val="0"/>
          <order val="0"/>
          <tx>
            <strRef>
              <f>'省份量化对比'!F1</f>
            </strRef>
          </tx>
          <spPr>
            <a:ln xmlns:a="http://schemas.openxmlformats.org/drawingml/2006/main">
              <a:prstDash val="solid"/>
            </a:ln>
          </spPr>
          <cat>
            <numRef>
              <f>'省份量化对比'!$A$2:$A$15</f>
            </numRef>
          </cat>
          <val>
            <numRef>
              <f>'省份量化对比'!$F$2:$F$15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万元</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19</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NationalTimeline" displayName="NationalTimeline" ref="A1:G7" headerRowCount="1">
  <autoFilter ref="A1:G7"/>
  <tableColumns count="7">
    <tableColumn id="1" name="阶段"/>
    <tableColumn id="2" name="时间"/>
    <tableColumn id="3" name="对象范围"/>
    <tableColumn id="4" name="公开数字"/>
    <tableColumn id="5" name="核心内容"/>
    <tableColumn id="6" name="来源ID"/>
    <tableColumn id="7" name="来源链接"/>
  </tableColumns>
  <tableStyleInfo name="TableStyleMedium2" showFirstColumn="0" showLastColumn="0" showRowStripes="1" showColumnStripes="0"/>
</table>
</file>

<file path=xl/tables/table2.xml><?xml version="1.0" encoding="utf-8"?>
<table xmlns="http://schemas.openxmlformats.org/spreadsheetml/2006/main" id="2" name="ProjectTable" displayName="ProjectTable" ref="A1:O25" headerRowCount="1">
  <autoFilter ref="A1:O25"/>
  <tableColumns count="15">
    <tableColumn id="1" name="省份"/>
    <tableColumn id="2" name="城市/地区"/>
    <tableColumn id="3" name="项目名称"/>
    <tableColumn id="4" name="阶段"/>
    <tableColumn id="5" name="时间"/>
    <tableColumn id="6" name="对象范围"/>
    <tableColumn id="7" name="明确数量/范围"/>
    <tableColumn id="8" name="调查面积(km²)"/>
    <tableColumn id="9" name="监测井/样品工作量"/>
    <tableColumn id="10" name="污染/风险/成果结论"/>
    <tableColumn id="11" name="项目状态"/>
    <tableColumn id="12" name="来源ID"/>
    <tableColumn id="13" name="可信度"/>
    <tableColumn id="14" name="来源链接"/>
    <tableColumn id="15" name="证据摘要"/>
  </tableColumns>
  <tableStyleInfo name="TableStyleMedium2" showFirstColumn="0" showLastColumn="0" showRowStripes="1" showColumnStripes="0"/>
</table>
</file>

<file path=xl/tables/table3.xml><?xml version="1.0" encoding="utf-8"?>
<table xmlns="http://schemas.openxmlformats.org/spreadsheetml/2006/main" id="3" name="QuantTable" displayName="QuantTable" ref="A1:H15" headerRowCount="1">
  <autoFilter ref="A1:H15"/>
  <tableColumns count="8">
    <tableColumn id="1" name="区域/项目"/>
    <tableColumn id="2" name="明确园区/对象数"/>
    <tableColumn id="3" name="调查面积(km²)"/>
    <tableColumn id="4" name="监测井数量"/>
    <tableColumn id="5" name="样品/检测数量"/>
    <tableColumn id="6" name="预算/合同金额(万元)"/>
    <tableColumn id="7" name="来源ID"/>
    <tableColumn id="8" name="备注"/>
  </tableColumns>
  <tableStyleInfo name="TableStyleMedium2" showFirstColumn="0" showLastColumn="0" showRowStripes="1" showColumnStripes="0"/>
</table>
</file>

<file path=xl/tables/table4.xml><?xml version="1.0" encoding="utf-8"?>
<table xmlns="http://schemas.openxmlformats.org/spreadsheetml/2006/main" id="4" name="ProcurementTable" displayName="ProcurementTable" ref="A1:I6" headerRowCount="1">
  <autoFilter ref="A1:I6"/>
  <tableColumns count="9">
    <tableColumn id="1" name="项目"/>
    <tableColumn id="2" name="预算/合同额(万元)"/>
    <tableColumn id="3" name="范围/对象"/>
    <tableColumn id="4" name="钻探/监测井"/>
    <tableColumn id="5" name="土壤样品"/>
    <tableColumn id="6" name="地下水样品"/>
    <tableColumn id="7" name="检测指标"/>
    <tableColumn id="8" name="质控/验收要求"/>
    <tableColumn id="9" name="来源ID"/>
  </tableColumns>
  <tableStyleInfo name="TableStyleMedium2" showFirstColumn="0" showLastColumn="0" showRowStripes="1" showColumnStripes="0"/>
</table>
</file>

<file path=xl/tables/table5.xml><?xml version="1.0" encoding="utf-8"?>
<table xmlns="http://schemas.openxmlformats.org/spreadsheetml/2006/main" id="5" name="MethodTable" displayName="MethodTable" ref="A1:D8" headerRowCount="1">
  <autoFilter ref="A1:D8"/>
  <tableColumns count="4">
    <tableColumn id="1" name="模块"/>
    <tableColumn id="2" name="典型字段/动作"/>
    <tableColumn id="3" name="为什么重要"/>
    <tableColumn id="4" name="来源支撑"/>
  </tableColumns>
  <tableStyleInfo name="TableStyleMedium2" showFirstColumn="0" showLastColumn="0" showRowStripes="1" showColumnStripes="0"/>
</table>
</file>

<file path=xl/tables/table6.xml><?xml version="1.0" encoding="utf-8"?>
<table xmlns="http://schemas.openxmlformats.org/spreadsheetml/2006/main" id="6" name="SourceTable" displayName="SourceTable" ref="A1:F25" headerRowCount="1">
  <autoFilter ref="A1:F25"/>
  <tableColumns count="6">
    <tableColumn id="1" name="来源ID"/>
    <tableColumn id="2" name="名称"/>
    <tableColumn id="3" name="日期"/>
    <tableColumn id="4" name="类型"/>
    <tableColumn id="5" name="链接"/>
    <tableColumn id="6" name="证据摘要"/>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ee.gov.cn/ywdt/hjnews/201911/t20191130_744924.shtml" TargetMode="External" Id="rId1"/><Relationship Type="http://schemas.openxmlformats.org/officeDocument/2006/relationships/hyperlink" Target="https://www.mee.gov.cn/ywdt/hjnews/201911/t20191130_744924.shtml" TargetMode="External" Id="rId2"/><Relationship Type="http://schemas.openxmlformats.org/officeDocument/2006/relationships/hyperlink" Target="https://www.mee.gov.cn/xxgk2018/xxgk/xxgk13/202112/t20211202_962760.html" TargetMode="External" Id="rId3"/><Relationship Type="http://schemas.openxmlformats.org/officeDocument/2006/relationships/hyperlink" Target="https://sthjj.cq.gov.cn/zwgk_249/gndt/202201/t20220129_10360258_wap.html" TargetMode="External" Id="rId4"/><Relationship Type="http://schemas.openxmlformats.org/officeDocument/2006/relationships/hyperlink" Target="https://sthjt.nx.gov.cn/xczx/gzdt/202504/t20250402_4871857.html" TargetMode="External" Id="rId5"/><Relationship Type="http://schemas.openxmlformats.org/officeDocument/2006/relationships/hyperlink" Target="https://www.mee.gov.cn/ywgz/kjycw/bmyjsgl/202604/W020260425390266130785.pdf" TargetMode="External" Id="rId6"/><Relationship Type="http://schemas.openxmlformats.org/officeDocument/2006/relationships/table" Target="/xl/tables/table1.xml" Id="rId7"/></Relationships>
</file>

<file path=xl/worksheets/_rels/sheet3.xml.rels><Relationships xmlns="http://schemas.openxmlformats.org/package/2006/relationships"><Relationship Type="http://schemas.openxmlformats.org/officeDocument/2006/relationships/hyperlink" Target="https://www.mee.gov.cn/ywdt/hjnews/201911/t20191130_744924.shtml" TargetMode="External" Id="rId1"/><Relationship Type="http://schemas.openxmlformats.org/officeDocument/2006/relationships/hyperlink" Target="https://www.mee.gov.cn/ywdt/hjnews/201911/t20191130_744924.shtml" TargetMode="External" Id="rId2"/><Relationship Type="http://schemas.openxmlformats.org/officeDocument/2006/relationships/hyperlink" Target="https://www.mee.gov.cn/xxgk2018/xxgk/xxgk13/202112/t20211202_962760.html" TargetMode="External" Id="rId3"/><Relationship Type="http://schemas.openxmlformats.org/officeDocument/2006/relationships/hyperlink" Target="https://sthjj.cq.gov.cn/zwgk_249/gndt/202201/t20220129_10360258_wap.html" TargetMode="External" Id="rId4"/><Relationship Type="http://schemas.openxmlformats.org/officeDocument/2006/relationships/hyperlink" Target="https://sthjt.nx.gov.cn/xczx/gzdt/202504/t20250402_4871857.html" TargetMode="External" Id="rId5"/><Relationship Type="http://schemas.openxmlformats.org/officeDocument/2006/relationships/hyperlink" Target="https://www.mee.gov.cn/ywgz/kjycw/bmyjsgl/202604/W020260425390266130785.pdf" TargetMode="External" Id="rId6"/><Relationship Type="http://schemas.openxmlformats.org/officeDocument/2006/relationships/hyperlink" Target="https://www.yndky.com/document/detail/id/495.html" TargetMode="External" Id="rId7"/><Relationship Type="http://schemas.openxmlformats.org/officeDocument/2006/relationships/hyperlink" Target="https://dzj.hubei.gov.cn/qd/xwzx/dwxw/202111/t20211105_3845977.shtml" TargetMode="External" Id="rId8"/><Relationship Type="http://schemas.openxmlformats.org/officeDocument/2006/relationships/hyperlink" Target="https://www.yunfu.gov.cn/yfsthjj/gkmlpt/content/1/1801/post_1801997.html" TargetMode="External" Id="rId9"/><Relationship Type="http://schemas.openxmlformats.org/officeDocument/2006/relationships/hyperlink" Target="https://www.yantai.gov.cn/art/2022/5/25/art_45948_2977230.html" TargetMode="External" Id="rId10"/><Relationship Type="http://schemas.openxmlformats.org/officeDocument/2006/relationships/hyperlink" Target="https://sthj.ln.gov.cn/sthj/zwdt/snyw/E21EBDECD5724ABDA7A7AC43CD293631/index.shtml" TargetMode="External" Id="rId11"/><Relationship Type="http://schemas.openxmlformats.org/officeDocument/2006/relationships/hyperlink" Target="https://www.ln.gov.cn/web/zwgkx/sjjhczbg/czjs/bmjs/202287/zfbm/2023090109265378604/2023090112073326087.pdf" TargetMode="External" Id="rId12"/><Relationship Type="http://schemas.openxmlformats.org/officeDocument/2006/relationships/hyperlink" Target="https://sthj.ln.gov.cn/sthj/xxgk/zwxxgk/xxgkml/2023061509461249487/index.shtml" TargetMode="External" Id="rId13"/><Relationship Type="http://schemas.openxmlformats.org/officeDocument/2006/relationships/hyperlink" Target="https://sthjt.henan.gov.cn/2023/11-20/2850423.html" TargetMode="External" Id="rId14"/><Relationship Type="http://schemas.openxmlformats.org/officeDocument/2006/relationships/hyperlink" Target="https://sthjt.shaanxi.gov.cn/xxgk/fdnr/hjzl/hjgb/202206/t20220602_2982011.html" TargetMode="External" Id="rId15"/><Relationship Type="http://schemas.openxmlformats.org/officeDocument/2006/relationships/hyperlink" Target="https://sthjt.shaanxi.gov.cn/xxgk/xwfb/202512/t20251216_3596535.html" TargetMode="External" Id="rId16"/><Relationship Type="http://schemas.openxmlformats.org/officeDocument/2006/relationships/hyperlink" Target="https://sthjj.luan.gov.cn/hbyw/stbh/5041391.html" TargetMode="External" Id="rId17"/><Relationship Type="http://schemas.openxmlformats.org/officeDocument/2006/relationships/hyperlink" Target="https://www.shqp.gov.cn/env/stzwgk/ml/yw/20220727/955438.html" TargetMode="External" Id="rId18"/><Relationship Type="http://schemas.openxmlformats.org/officeDocument/2006/relationships/hyperlink" Target="https://ggzyjy.xzfwzx.putian.gov.cn/ptsq/005002/005002003/005002003001/20220426/651f4ec3-4c27-479d-b405-6aaf26ad4d1a.html" TargetMode="External" Id="rId19"/><Relationship Type="http://schemas.openxmlformats.org/officeDocument/2006/relationships/hyperlink" Target="https://www.linxiang.gov.cn/24733/24760/24821/24902/26931/content_2327083.html" TargetMode="External" Id="rId20"/><Relationship Type="http://schemas.openxmlformats.org/officeDocument/2006/relationships/hyperlink" Target="https://www.ccgp-neimenggu.gov.cn/gpx-bid-file/152523/gpx-tender/2024/4/22/402881cc8ec1d157018f0522be7f43ef.pdf?accessCode=9de828e2e1c7922f89dff1d1d5ef3a0c" TargetMode="External" Id="rId21"/><Relationship Type="http://schemas.openxmlformats.org/officeDocument/2006/relationships/hyperlink" Target="https://jxszwsjb.jiaxing.gov.cn/art/2023/6/1/art_1229744161_377926.html" TargetMode="External" Id="rId22"/><Relationship Type="http://schemas.openxmlformats.org/officeDocument/2006/relationships/hyperlink" Target="https://jkq.huainan.gov.cn/zwgk/zbcg/551762571.html" TargetMode="External" Id="rId23"/><Relationship Type="http://schemas.openxmlformats.org/officeDocument/2006/relationships/hyperlink" Target="https://www.sdffwdwz.com/szhbj/szh/202303/3478a0dab7534e17834e8c0583e7a595.shtml" TargetMode="External" Id="rId24"/><Relationship Type="http://schemas.openxmlformats.org/officeDocument/2006/relationships/table" Target="/xl/tables/table2.xml" Id="rId25"/></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3.xml" Id="rId2"/></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hyperlink" Target="https://www.mee.gov.cn/xxgk2018/xxgk/xxgk13/202112/t20211202_962760.html" TargetMode="External" Id="rId1"/><Relationship Type="http://schemas.openxmlformats.org/officeDocument/2006/relationships/hyperlink" Target="https://www.mee.gov.cn/ywdt/hjnews/201911/t20191130_744924.shtml" TargetMode="External" Id="rId2"/><Relationship Type="http://schemas.openxmlformats.org/officeDocument/2006/relationships/hyperlink" Target="https://sthjj.cq.gov.cn/zwgk_249/gndt/202201/t20220129_10360258_wap.html" TargetMode="External" Id="rId3"/><Relationship Type="http://schemas.openxmlformats.org/officeDocument/2006/relationships/hyperlink" Target="https://sthjt.nx.gov.cn/xczx/gzdt/202504/t20250402_4871857.html" TargetMode="External" Id="rId4"/><Relationship Type="http://schemas.openxmlformats.org/officeDocument/2006/relationships/hyperlink" Target="https://www.mee.gov.cn/ywgz/kjycw/bmyjsgl/202604/W020260425390266130785.pdf" TargetMode="External" Id="rId5"/><Relationship Type="http://schemas.openxmlformats.org/officeDocument/2006/relationships/hyperlink" Target="https://www.yndky.com/document/detail/id/495.html" TargetMode="External" Id="rId6"/><Relationship Type="http://schemas.openxmlformats.org/officeDocument/2006/relationships/hyperlink" Target="https://dzj.hubei.gov.cn/qd/xwzx/dwxw/202111/t20211105_3845977.shtml" TargetMode="External" Id="rId7"/><Relationship Type="http://schemas.openxmlformats.org/officeDocument/2006/relationships/hyperlink" Target="https://www.yunfu.gov.cn/yfsthjj/gkmlpt/content/1/1801/post_1801997.html" TargetMode="External" Id="rId8"/><Relationship Type="http://schemas.openxmlformats.org/officeDocument/2006/relationships/hyperlink" Target="https://www.yantai.gov.cn/art/2022/5/25/art_45948_2977230.html" TargetMode="External" Id="rId9"/><Relationship Type="http://schemas.openxmlformats.org/officeDocument/2006/relationships/hyperlink" Target="https://sthj.ln.gov.cn/sthj/zwdt/snyw/E21EBDECD5724ABDA7A7AC43CD293631/index.shtml" TargetMode="External" Id="rId10"/><Relationship Type="http://schemas.openxmlformats.org/officeDocument/2006/relationships/hyperlink" Target="https://www.ln.gov.cn/web/zwgkx/sjjhczbg/czjs/bmjs/202287/zfbm/2023090109265378604/2023090112073326087.pdf" TargetMode="External" Id="rId11"/><Relationship Type="http://schemas.openxmlformats.org/officeDocument/2006/relationships/hyperlink" Target="https://sthj.ln.gov.cn/sthj/xxgk/zwxxgk/xxgkml/2023061509461249487/index.shtml" TargetMode="External" Id="rId12"/><Relationship Type="http://schemas.openxmlformats.org/officeDocument/2006/relationships/hyperlink" Target="https://sthjt.henan.gov.cn/2023/11-20/2850423.html" TargetMode="External" Id="rId13"/><Relationship Type="http://schemas.openxmlformats.org/officeDocument/2006/relationships/hyperlink" Target="https://sthjt.shaanxi.gov.cn/xxgk/fdnr/hjzl/hjgb/202206/t20220602_2982011.html" TargetMode="External" Id="rId14"/><Relationship Type="http://schemas.openxmlformats.org/officeDocument/2006/relationships/hyperlink" Target="https://sthjt.shaanxi.gov.cn/xxgk/xwfb/202512/t20251216_3596535.html" TargetMode="External" Id="rId15"/><Relationship Type="http://schemas.openxmlformats.org/officeDocument/2006/relationships/hyperlink" Target="https://sthjj.luan.gov.cn/hbyw/stbh/5041391.html" TargetMode="External" Id="rId16"/><Relationship Type="http://schemas.openxmlformats.org/officeDocument/2006/relationships/hyperlink" Target="https://www.shqp.gov.cn/env/stzwgk/ml/yw/20220727/955438.html" TargetMode="External" Id="rId17"/><Relationship Type="http://schemas.openxmlformats.org/officeDocument/2006/relationships/hyperlink" Target="https://ggzyjy.xzfwzx.putian.gov.cn/ptsq/005002/005002003/005002003001/20220426/651f4ec3-4c27-479d-b405-6aaf26ad4d1a.html" TargetMode="External" Id="rId18"/><Relationship Type="http://schemas.openxmlformats.org/officeDocument/2006/relationships/hyperlink" Target="https://www.linxiang.gov.cn/24733/24760/24821/24902/26931/content_2327083.html" TargetMode="External" Id="rId19"/><Relationship Type="http://schemas.openxmlformats.org/officeDocument/2006/relationships/hyperlink" Target="https://sthjt.hunan.gov.cn/xxgk/tzgg/gg/202503/t20250305_33603003.html" TargetMode="External" Id="rId20"/><Relationship Type="http://schemas.openxmlformats.org/officeDocument/2006/relationships/hyperlink" Target="https://www.ccgp-neimenggu.gov.cn/gpx-bid-file/152523/gpx-tender/2024/4/22/402881cc8ec1d157018f0522be7f43ef.pdf?accessCode=9de828e2e1c7922f89dff1d1d5ef3a0c" TargetMode="External" Id="rId21"/><Relationship Type="http://schemas.openxmlformats.org/officeDocument/2006/relationships/hyperlink" Target="https://jxszwsjb.jiaxing.gov.cn/art/2023/6/1/art_1229744161_377926.html" TargetMode="External" Id="rId22"/><Relationship Type="http://schemas.openxmlformats.org/officeDocument/2006/relationships/hyperlink" Target="https://jkq.huainan.gov.cn/zwgk/zbcg/551762571.html" TargetMode="External" Id="rId23"/><Relationship Type="http://schemas.openxmlformats.org/officeDocument/2006/relationships/hyperlink" Target="https://www.sdffwdwz.com/szhbj/szh/202303/3478a0dab7534e17834e8c0583e7a595.shtml" TargetMode="External" Id="rId24"/><Relationship Type="http://schemas.openxmlformats.org/officeDocument/2006/relationships/table" Target="/xl/tables/table6.xml" Id="rId25"/></Relationships>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35.6" customWidth="1" min="4" max="4"/>
    <col width="10" customWidth="1" min="5" max="5"/>
    <col width="10" customWidth="1" min="6" max="6"/>
    <col width="10" customWidth="1" min="7" max="7"/>
    <col width="10" customWidth="1" min="8" max="8"/>
    <col width="10" customWidth="1" min="9" max="9"/>
    <col width="10" customWidth="1" min="10" max="10"/>
  </cols>
  <sheetData>
    <row r="1" ht="24" customHeight="1">
      <c r="A1" s="1" t="inlineStr">
        <is>
          <t>全国产业园区地下水污染状况调查项目 | 更详细版全国数据资料</t>
        </is>
      </c>
      <c r="B1" s="2" t="n"/>
      <c r="C1" s="2" t="n"/>
      <c r="D1" s="2" t="n"/>
      <c r="E1" s="2" t="n"/>
      <c r="F1" s="2" t="n"/>
      <c r="G1" s="2" t="n"/>
      <c r="H1" s="2" t="n"/>
      <c r="I1" s="2" t="n"/>
      <c r="J1" s="2" t="n"/>
    </row>
    <row r="2" ht="48" customHeight="1">
      <c r="A2" s="3" t="inlineStr">
        <is>
          <t>口径：以化工园区/工业园区/产业园区地下水环境状况调查评估、详细调查、污染溯源、风险管控和专项整治项目为主。未公开披露的数字不估算。</t>
        </is>
      </c>
      <c r="B2" s="4" t="n"/>
      <c r="C2" s="4" t="n"/>
      <c r="D2" s="4" t="n"/>
      <c r="E2" s="4" t="n"/>
      <c r="F2" s="4" t="n"/>
      <c r="G2" s="4" t="n"/>
      <c r="H2" s="4" t="n"/>
      <c r="I2" s="4" t="n"/>
      <c r="J2" s="4" t="n"/>
    </row>
    <row r="3" ht="48" customHeight="1">
      <c r="A3" s="5" t="inlineStr">
        <is>
          <t>核心判断</t>
        </is>
      </c>
      <c r="B3" s="5" t="inlineStr">
        <is>
          <t>证据</t>
        </is>
      </c>
      <c r="C3" s="5" t="inlineStr">
        <is>
          <t>管理含义</t>
        </is>
      </c>
      <c r="D3" s="5" t="inlineStr">
        <is>
          <t>建议动作</t>
        </is>
      </c>
      <c r="E3" s="4" t="n"/>
      <c r="F3" s="4" t="n"/>
      <c r="G3" s="4" t="n"/>
      <c r="H3" s="4" t="n"/>
      <c r="I3" s="4" t="n"/>
      <c r="J3" s="4" t="n"/>
    </row>
    <row r="4" ht="48" customHeight="1">
      <c r="A4" s="4" t="inlineStr">
        <is>
          <t>全国主线已从调查评估进入专项整治</t>
        </is>
      </c>
      <c r="B4" s="4" t="inlineStr">
        <is>
          <t>2021-2022年全国调查评估完成；2026年绩效指标为399个化工园区专项整治</t>
        </is>
      </c>
      <c r="C4" s="4" t="inlineStr">
        <is>
          <t>后续重点从“有没有调查”变成“问题清单、风险管控、修复和监测网是否闭环”</t>
        </is>
      </c>
      <c r="D4" s="4" t="inlineStr">
        <is>
          <t>按调查评估-溯源-修复管控-长期监测四段拆项目机会</t>
        </is>
      </c>
      <c r="E4" s="4" t="n"/>
      <c r="F4" s="4" t="n"/>
      <c r="G4" s="4" t="n"/>
      <c r="H4" s="4" t="n"/>
      <c r="I4" s="4" t="n"/>
      <c r="J4" s="4" t="n"/>
    </row>
    <row r="5" ht="48" customHeight="1">
      <c r="A5" s="4" t="inlineStr">
        <is>
          <t>地方数据披露不均，但可形成项目工作量基准</t>
        </is>
      </c>
      <c r="B5" s="4" t="inlineStr">
        <is>
          <t>云南、云浮、烟台、福建莆田等披露面积、井数、样品和预算</t>
        </is>
      </c>
      <c r="C5" s="4" t="inlineStr">
        <is>
          <t>投标/汇报不能套全国平均值，应把公开数据和未披露字段分层</t>
        </is>
      </c>
      <c r="D5" s="4" t="inlineStr">
        <is>
          <t>建立省份项目库，逐步补齐预算、中标、井数、样品、检测指标</t>
        </is>
      </c>
      <c r="E5" s="4" t="n"/>
      <c r="F5" s="4" t="n"/>
      <c r="G5" s="4" t="n"/>
      <c r="H5" s="4" t="n"/>
      <c r="I5" s="4" t="n"/>
      <c r="J5" s="4" t="n"/>
    </row>
    <row r="6" ht="48" customHeight="1">
      <c r="A6" s="4" t="inlineStr">
        <is>
          <t>典型省份呈现从省级统筹到园区详细调查的链条</t>
        </is>
      </c>
      <c r="B6" s="4" t="inlineStr">
        <is>
          <t>河南37个、陕西23个、辽宁21个完成/成果集成；福建/安徽/浙江进入单园区详细调查</t>
        </is>
      </c>
      <c r="C6" s="4" t="inlineStr">
        <is>
          <t>省级项目解决面上底数，单园区项目解决污染羽和治理方案</t>
        </is>
      </c>
      <c r="D6" s="4" t="inlineStr">
        <is>
          <t>优先盯“超标点位详细调查”“污染溯源”“中央储备库”项目</t>
        </is>
      </c>
      <c r="E6" s="4" t="n"/>
      <c r="F6" s="4" t="n"/>
      <c r="G6" s="4" t="n"/>
      <c r="H6" s="4" t="n"/>
      <c r="I6" s="4" t="n"/>
      <c r="J6" s="4" t="n"/>
    </row>
    <row r="7" ht="48" customHeight="1">
      <c r="A7" s="4" t="inlineStr">
        <is>
          <t>采购文件是最有价值的颗粒度来源</t>
        </is>
      </c>
      <c r="B7" s="4" t="inlineStr">
        <is>
          <t>莆田披露36个钻探点、39个地下水井、108个土壤样、预算165万元</t>
        </is>
      </c>
      <c r="C7" s="4" t="inlineStr">
        <is>
          <t>可直接反推交付清单、团队能力、质控要求和报价结构</t>
        </is>
      </c>
      <c r="D7" s="4" t="inlineStr">
        <is>
          <t>把采购字段做成投标参考表，不只做新闻摘录</t>
        </is>
      </c>
      <c r="E7" s="4" t="n"/>
      <c r="F7" s="4" t="n"/>
      <c r="G7" s="4" t="n"/>
      <c r="H7" s="4" t="n"/>
      <c r="I7" s="4" t="n"/>
      <c r="J7" s="4" t="n"/>
    </row>
    <row r="8" ht="48" customHeight="1">
      <c r="A8" s="4" t="n"/>
      <c r="B8" s="4" t="n"/>
      <c r="C8" s="4" t="n"/>
      <c r="D8" s="4" t="n"/>
      <c r="E8" s="4" t="n"/>
      <c r="F8" s="4" t="n"/>
      <c r="G8" s="4" t="n"/>
      <c r="H8" s="4" t="n"/>
      <c r="I8" s="4" t="n"/>
      <c r="J8" s="4" t="n"/>
    </row>
    <row r="9" ht="48" customHeight="1">
      <c r="A9" s="4" t="inlineStr">
        <is>
          <t>KPI</t>
        </is>
      </c>
      <c r="B9" s="4" t="inlineStr">
        <is>
          <t>值</t>
        </is>
      </c>
      <c r="C9" s="4" t="inlineStr">
        <is>
          <t>说明</t>
        </is>
      </c>
      <c r="D9" s="4" t="n"/>
      <c r="E9" s="4" t="n"/>
      <c r="F9" s="4" t="n"/>
      <c r="G9" s="4" t="n"/>
      <c r="H9" s="4" t="n"/>
      <c r="I9" s="4" t="n"/>
      <c r="J9" s="4" t="n"/>
    </row>
    <row r="10" ht="48" customHeight="1">
      <c r="A10" s="5" t="inlineStr">
        <is>
          <t>公开来源数</t>
        </is>
      </c>
      <c r="B10" s="5" t="n">
        <v>24</v>
      </c>
      <c r="C10" s="5" t="inlineStr">
        <is>
          <t>来源索引逐条可点击</t>
        </is>
      </c>
      <c r="D10" s="4" t="n"/>
      <c r="E10" s="4" t="n"/>
      <c r="F10" s="4" t="n"/>
      <c r="G10" s="4" t="n"/>
      <c r="H10" s="4" t="n"/>
      <c r="I10" s="4" t="n"/>
      <c r="J10" s="4" t="n"/>
    </row>
    <row r="11" ht="48" customHeight="1">
      <c r="A11" s="4" t="inlineStr">
        <is>
          <t>数据行数</t>
        </is>
      </c>
      <c r="B11" s="4" t="n">
        <v>24</v>
      </c>
      <c r="C11" s="4" t="inlineStr">
        <is>
          <t>含全国、省级、地市/园区项目</t>
        </is>
      </c>
      <c r="D11" s="4" t="n"/>
      <c r="E11" s="4" t="n"/>
      <c r="F11" s="4" t="n"/>
      <c r="G11" s="4" t="n"/>
      <c r="H11" s="4" t="n"/>
      <c r="I11" s="4" t="n"/>
      <c r="J11" s="4" t="n"/>
    </row>
    <row r="12" ht="48" customHeight="1">
      <c r="A12" s="4" t="inlineStr">
        <is>
          <t>含明确园区/污染源数量的行</t>
        </is>
      </c>
      <c r="B12" s="4" t="n">
        <v>18</v>
      </c>
      <c r="C12" s="4" t="inlineStr">
        <is>
          <t>例如399个、68个、37个、23个</t>
        </is>
      </c>
      <c r="D12" s="4" t="n"/>
      <c r="E12" s="4" t="n"/>
      <c r="F12" s="4" t="n"/>
      <c r="G12" s="4" t="n"/>
      <c r="H12" s="4" t="n"/>
      <c r="I12" s="4" t="n"/>
      <c r="J12" s="4" t="n"/>
    </row>
    <row r="13" ht="48" customHeight="1">
      <c r="A13" s="4" t="inlineStr">
        <is>
          <t>含调查面积的行</t>
        </is>
      </c>
      <c r="B13" s="4" t="n">
        <v>3</v>
      </c>
      <c r="C13" s="4" t="inlineStr">
        <is>
          <t>面积字段只填公开数</t>
        </is>
      </c>
      <c r="D13" s="4" t="n"/>
      <c r="E13" s="4" t="n"/>
      <c r="F13" s="4" t="n"/>
      <c r="G13" s="4" t="n"/>
      <c r="H13" s="4" t="n"/>
      <c r="I13" s="4" t="n"/>
      <c r="J13" s="4" t="n"/>
    </row>
    <row r="14" ht="48" customHeight="1">
      <c r="A14" s="4" t="inlineStr">
        <is>
          <t>含监测井/样品工作量的行</t>
        </is>
      </c>
      <c r="B14" s="4" t="n">
        <v>5</v>
      </c>
      <c r="C14" s="4" t="inlineStr">
        <is>
          <t>井数、样品数或钻探点位</t>
        </is>
      </c>
      <c r="D14" s="4" t="n"/>
      <c r="E14" s="4" t="n"/>
      <c r="F14" s="4" t="n"/>
      <c r="G14" s="4" t="n"/>
      <c r="H14" s="4" t="n"/>
      <c r="I14" s="4" t="n"/>
      <c r="J14" s="4" t="n"/>
    </row>
    <row r="15" ht="48" customHeight="1">
      <c r="A15" s="4" t="inlineStr">
        <is>
          <t>含预算/合同额的来源</t>
        </is>
      </c>
      <c r="B15" s="4" t="n">
        <v>5</v>
      </c>
      <c r="C15" s="4" t="inlineStr">
        <is>
          <t>莆田、辽宁、桐乡、淮南、苏州等</t>
        </is>
      </c>
      <c r="D15" s="4" t="n"/>
      <c r="E15" s="4" t="n"/>
      <c r="F15" s="4" t="n"/>
      <c r="G15" s="4" t="n"/>
      <c r="H15" s="4" t="n"/>
      <c r="I15" s="4" t="n"/>
      <c r="J15" s="4" t="n"/>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8.4" customWidth="1" min="1" max="1"/>
    <col width="12.8" customWidth="1" min="2" max="2"/>
    <col width="24.8" customWidth="1" min="3" max="3"/>
    <col width="16.4" customWidth="1" min="4" max="4"/>
    <col width="42" customWidth="1" min="5" max="5"/>
    <col width="10" customWidth="1" min="6" max="6"/>
    <col width="42" customWidth="1" min="7" max="7"/>
  </cols>
  <sheetData>
    <row r="1" ht="24" customHeight="1">
      <c r="A1" s="2" t="inlineStr">
        <is>
          <t>阶段</t>
        </is>
      </c>
      <c r="B1" s="2" t="inlineStr">
        <is>
          <t>时间</t>
        </is>
      </c>
      <c r="C1" s="2" t="inlineStr">
        <is>
          <t>对象范围</t>
        </is>
      </c>
      <c r="D1" s="2" t="inlineStr">
        <is>
          <t>公开数字</t>
        </is>
      </c>
      <c r="E1" s="2" t="inlineStr">
        <is>
          <t>核心内容</t>
        </is>
      </c>
      <c r="F1" s="2" t="inlineStr">
        <is>
          <t>来源ID</t>
        </is>
      </c>
      <c r="G1" s="2" t="inlineStr">
        <is>
          <t>来源链接</t>
        </is>
      </c>
    </row>
    <row r="2" ht="48" customHeight="1">
      <c r="A2" s="4" t="inlineStr">
        <is>
          <t>全国地下水基础环境状况调查评估</t>
        </is>
      </c>
      <c r="B2" s="4" t="inlineStr">
        <is>
          <t>2011-2017</t>
        </is>
      </c>
      <c r="C2" s="4" t="inlineStr">
        <is>
          <t>全国/饮用水源与污染源</t>
        </is>
      </c>
      <c r="D2" s="4" t="inlineStr">
        <is>
          <t>未披露</t>
        </is>
      </c>
      <c r="E2" s="4" t="inlineStr">
        <is>
          <t>初步掌握城镇、农村集中式地下水型饮用水源和污染源基本信息、环境管理状况</t>
        </is>
      </c>
      <c r="F2" s="4" t="inlineStr">
        <is>
          <t>S02</t>
        </is>
      </c>
      <c r="G2" s="6" t="inlineStr">
        <is>
          <t>打开来源</t>
        </is>
      </c>
    </row>
    <row r="3" ht="48" customHeight="1">
      <c r="A3" s="4" t="inlineStr">
        <is>
          <t>典型工业园区周边地下水环境状况调查和风险评估</t>
        </is>
      </c>
      <c r="B3" s="4" t="inlineStr">
        <is>
          <t>2018-2019</t>
        </is>
      </c>
      <c r="C3" s="4" t="inlineStr">
        <is>
          <t>典型工业园区周边</t>
        </is>
      </c>
      <c r="D3" s="4" t="inlineStr">
        <is>
          <t>未披露</t>
        </is>
      </c>
      <c r="E3" s="4" t="inlineStr">
        <is>
          <t>针对化工行业地下水污染问题提出污染防控对策建议</t>
        </is>
      </c>
      <c r="F3" s="4" t="inlineStr">
        <is>
          <t>S02</t>
        </is>
      </c>
      <c r="G3" s="6" t="inlineStr">
        <is>
          <t>打开来源</t>
        </is>
      </c>
    </row>
    <row r="4" ht="48" customHeight="1">
      <c r="A4" s="4" t="inlineStr">
        <is>
          <t>化工园区地下水环境状况调查评估工作方案</t>
        </is>
      </c>
      <c r="B4" s="4" t="inlineStr">
        <is>
          <t>2021-03</t>
        </is>
      </c>
      <c r="C4" s="4" t="inlineStr">
        <is>
          <t>化工园区、铅锌矿区等重点区域</t>
        </is>
      </c>
      <c r="D4" s="4" t="inlineStr">
        <is>
          <t>未披露</t>
        </is>
      </c>
      <c r="E4" s="4" t="inlineStr">
        <is>
          <t>指导各省开展化工园区、铅锌矿区等重点区域调查评估；强调地下水隐蔽性、复杂性、长期性</t>
        </is>
      </c>
      <c r="F4" s="4" t="inlineStr">
        <is>
          <t>S01</t>
        </is>
      </c>
      <c r="G4" s="6" t="inlineStr">
        <is>
          <t>打开来源</t>
        </is>
      </c>
    </row>
    <row r="5" ht="48" customHeight="1">
      <c r="A5" s="4" t="inlineStr">
        <is>
          <t>首批国家级化工园区和重点铅锌矿区调查评估</t>
        </is>
      </c>
      <c r="B5" s="4" t="inlineStr">
        <is>
          <t>2021</t>
        </is>
      </c>
      <c r="C5" s="4" t="inlineStr">
        <is>
          <t>68个国家级化工园区；9个重点铅锌矿区</t>
        </is>
      </c>
      <c r="D5" s="4" t="inlineStr">
        <is>
          <t>68个化工园区+9个矿区</t>
        </is>
      </c>
      <c r="E5" s="4" t="inlineStr">
        <is>
          <t>截至2021年12月全部完成现场调查，正在进行数据集成和成果总结</t>
        </is>
      </c>
      <c r="F5" s="4" t="inlineStr">
        <is>
          <t>S03</t>
        </is>
      </c>
      <c r="G5" s="6" t="inlineStr">
        <is>
          <t>打开来源</t>
        </is>
      </c>
    </row>
    <row r="6" ht="48" customHeight="1">
      <c r="A6" s="4" t="inlineStr">
        <is>
          <t>全国化工园区地下水环境状况调查评估</t>
        </is>
      </c>
      <c r="B6" s="4" t="inlineStr">
        <is>
          <t>2021-2022</t>
        </is>
      </c>
      <c r="C6" s="4" t="inlineStr">
        <is>
          <t>全国化工园区</t>
        </is>
      </c>
      <c r="D6" s="4" t="inlineStr">
        <is>
          <t>未披露</t>
        </is>
      </c>
      <c r="E6" s="4" t="inlineStr">
        <is>
          <t>部分化工园区污染问题较突出、环境管理要求落实不到位；12个典型化工园区管控修复试点</t>
        </is>
      </c>
      <c r="F6" s="4" t="inlineStr">
        <is>
          <t>S04</t>
        </is>
      </c>
      <c r="G6" s="6" t="inlineStr">
        <is>
          <t>打开来源</t>
        </is>
      </c>
    </row>
    <row r="7" ht="48" customHeight="1">
      <c r="A7" s="4" t="inlineStr">
        <is>
          <t>化工园区地下水污染专项整治</t>
        </is>
      </c>
      <c r="B7" s="4" t="inlineStr">
        <is>
          <t>2026</t>
        </is>
      </c>
      <c r="C7" s="4" t="inlineStr">
        <is>
          <t>化工园区地下水污染专项整治</t>
        </is>
      </c>
      <c r="D7" s="4" t="inlineStr">
        <is>
          <t>399个化工园区</t>
        </is>
      </c>
      <c r="E7" s="4" t="inlineStr">
        <is>
          <t>生态环境部2026年度绩效指标设定指导开展399个化工园区专项整治</t>
        </is>
      </c>
      <c r="F7" s="4" t="inlineStr">
        <is>
          <t>S05</t>
        </is>
      </c>
      <c r="G7" s="6" t="inlineStr">
        <is>
          <t>打开来源</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tableParts count="1">
    <tablePart xmlns:r="http://schemas.openxmlformats.org/officeDocument/2006/relationships" r:id="rId7"/>
  </tableParts>
</worksheet>
</file>

<file path=xl/worksheets/sheet3.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0" customWidth="1" min="1" max="1"/>
    <col width="18.8" customWidth="1" min="2" max="2"/>
    <col width="36.8" customWidth="1" min="3" max="3"/>
    <col width="12.8" customWidth="1" min="4" max="4"/>
    <col width="20" customWidth="1" min="5" max="5"/>
    <col width="24.8" customWidth="1" min="6" max="6"/>
    <col width="17.6" customWidth="1" min="7" max="7"/>
    <col width="12.8" customWidth="1" min="8" max="8"/>
    <col width="18.8" customWidth="1" min="9" max="9"/>
    <col width="42" customWidth="1" min="10" max="10"/>
    <col width="15.2" customWidth="1" min="11" max="11"/>
    <col width="10.4" customWidth="1" min="12" max="12"/>
    <col width="10" customWidth="1" min="13" max="13"/>
    <col width="42" customWidth="1" min="14" max="14"/>
    <col width="42" customWidth="1" min="15" max="15"/>
  </cols>
  <sheetData>
    <row r="1" ht="24" customHeight="1">
      <c r="A1" s="2" t="inlineStr">
        <is>
          <t>省份</t>
        </is>
      </c>
      <c r="B1" s="2" t="inlineStr">
        <is>
          <t>城市/地区</t>
        </is>
      </c>
      <c r="C1" s="2" t="inlineStr">
        <is>
          <t>项目名称</t>
        </is>
      </c>
      <c r="D1" s="2" t="inlineStr">
        <is>
          <t>阶段</t>
        </is>
      </c>
      <c r="E1" s="2" t="inlineStr">
        <is>
          <t>时间</t>
        </is>
      </c>
      <c r="F1" s="2" t="inlineStr">
        <is>
          <t>对象范围</t>
        </is>
      </c>
      <c r="G1" s="2" t="inlineStr">
        <is>
          <t>明确数量/范围</t>
        </is>
      </c>
      <c r="H1" s="2" t="inlineStr">
        <is>
          <t>调查面积(km²)</t>
        </is>
      </c>
      <c r="I1" s="2" t="inlineStr">
        <is>
          <t>监测井/样品工作量</t>
        </is>
      </c>
      <c r="J1" s="2" t="inlineStr">
        <is>
          <t>污染/风险/成果结论</t>
        </is>
      </c>
      <c r="K1" s="2" t="inlineStr">
        <is>
          <t>项目状态</t>
        </is>
      </c>
      <c r="L1" s="2" t="inlineStr">
        <is>
          <t>来源ID</t>
        </is>
      </c>
      <c r="M1" s="2" t="inlineStr">
        <is>
          <t>可信度</t>
        </is>
      </c>
      <c r="N1" s="2" t="inlineStr">
        <is>
          <t>来源链接</t>
        </is>
      </c>
      <c r="O1" s="2" t="inlineStr">
        <is>
          <t>证据摘要</t>
        </is>
      </c>
    </row>
    <row r="2" ht="48" customHeight="1">
      <c r="A2" s="4" t="inlineStr">
        <is>
          <t>全国</t>
        </is>
      </c>
      <c r="B2" s="4" t="inlineStr">
        <is>
          <t>全国</t>
        </is>
      </c>
      <c r="C2" s="4" t="inlineStr">
        <is>
          <t>全国地下水基础环境状况调查评估</t>
        </is>
      </c>
      <c r="D2" s="4" t="inlineStr">
        <is>
          <t>基础调查</t>
        </is>
      </c>
      <c r="E2" s="4" t="inlineStr">
        <is>
          <t>2011-2017</t>
        </is>
      </c>
      <c r="F2" s="4" t="inlineStr">
        <is>
          <t>全国/饮用水源与污染源</t>
        </is>
      </c>
      <c r="G2" s="4" t="inlineStr">
        <is>
          <t>未披露</t>
        </is>
      </c>
      <c r="H2" s="4" t="inlineStr">
        <is>
          <t>未披露</t>
        </is>
      </c>
      <c r="I2" s="4" t="inlineStr">
        <is>
          <t>未披露</t>
        </is>
      </c>
      <c r="J2" s="4" t="inlineStr">
        <is>
          <t>初步掌握城镇、农村集中式地下水型饮用水源和污染源基本信息、环境管理状况</t>
        </is>
      </c>
      <c r="K2" s="4" t="inlineStr">
        <is>
          <t>已完成</t>
        </is>
      </c>
      <c r="L2" s="4" t="inlineStr">
        <is>
          <t>S02</t>
        </is>
      </c>
      <c r="M2" s="4" t="inlineStr">
        <is>
          <t>高</t>
        </is>
      </c>
      <c r="N2" s="6" t="inlineStr">
        <is>
          <t>打开来源</t>
        </is>
      </c>
      <c r="O2" s="4" t="inlineStr">
        <is>
          <t>2011-2017年全国地下水基础环境状况调查评估；2018-2019年典型工业园区周边调查和风险评估。</t>
        </is>
      </c>
    </row>
    <row r="3" ht="48" customHeight="1">
      <c r="A3" s="4" t="inlineStr">
        <is>
          <t>全国</t>
        </is>
      </c>
      <c r="B3" s="4" t="inlineStr">
        <is>
          <t>全国</t>
        </is>
      </c>
      <c r="C3" s="4" t="inlineStr">
        <is>
          <t>典型工业园区周边地下水环境状况调查和风险评估</t>
        </is>
      </c>
      <c r="D3" s="4" t="inlineStr">
        <is>
          <t>试点调查</t>
        </is>
      </c>
      <c r="E3" s="4" t="inlineStr">
        <is>
          <t>2018-2019</t>
        </is>
      </c>
      <c r="F3" s="4" t="inlineStr">
        <is>
          <t>典型工业园区周边</t>
        </is>
      </c>
      <c r="G3" s="4" t="inlineStr">
        <is>
          <t>未披露</t>
        </is>
      </c>
      <c r="H3" s="4" t="inlineStr">
        <is>
          <t>未披露</t>
        </is>
      </c>
      <c r="I3" s="4" t="inlineStr">
        <is>
          <t>未披露</t>
        </is>
      </c>
      <c r="J3" s="4" t="inlineStr">
        <is>
          <t>针对化工行业地下水污染问题提出污染防控对策建议</t>
        </is>
      </c>
      <c r="K3" s="4" t="inlineStr">
        <is>
          <t>已开展</t>
        </is>
      </c>
      <c r="L3" s="4" t="inlineStr">
        <is>
          <t>S02</t>
        </is>
      </c>
      <c r="M3" s="4" t="inlineStr">
        <is>
          <t>高</t>
        </is>
      </c>
      <c r="N3" s="6" t="inlineStr">
        <is>
          <t>打开来源</t>
        </is>
      </c>
      <c r="O3" s="4" t="inlineStr">
        <is>
          <t>2011-2017年全国地下水基础环境状况调查评估；2018-2019年典型工业园区周边调查和风险评估。</t>
        </is>
      </c>
    </row>
    <row r="4" ht="48" customHeight="1">
      <c r="A4" s="4" t="inlineStr">
        <is>
          <t>全国</t>
        </is>
      </c>
      <c r="B4" s="4" t="inlineStr">
        <is>
          <t>全国</t>
        </is>
      </c>
      <c r="C4" s="4" t="inlineStr">
        <is>
          <t>化工园区地下水环境状况调查评估工作方案</t>
        </is>
      </c>
      <c r="D4" s="4" t="inlineStr">
        <is>
          <t>政策部署</t>
        </is>
      </c>
      <c r="E4" s="4" t="inlineStr">
        <is>
          <t>2021-03</t>
        </is>
      </c>
      <c r="F4" s="4" t="inlineStr">
        <is>
          <t>化工园区、铅锌矿区等重点区域</t>
        </is>
      </c>
      <c r="G4" s="4" t="inlineStr">
        <is>
          <t>未披露</t>
        </is>
      </c>
      <c r="H4" s="4" t="inlineStr">
        <is>
          <t>未披露</t>
        </is>
      </c>
      <c r="I4" s="4" t="inlineStr">
        <is>
          <t>未披露</t>
        </is>
      </c>
      <c r="J4" s="4" t="inlineStr">
        <is>
          <t>指导各省开展化工园区、铅锌矿区等重点区域调查评估；强调地下水隐蔽性、复杂性、长期性</t>
        </is>
      </c>
      <c r="K4" s="4" t="inlineStr">
        <is>
          <t>实施依据</t>
        </is>
      </c>
      <c r="L4" s="4" t="inlineStr">
        <is>
          <t>S01</t>
        </is>
      </c>
      <c r="M4" s="4" t="inlineStr">
        <is>
          <t>高</t>
        </is>
      </c>
      <c r="N4" s="6" t="inlineStr">
        <is>
          <t>打开来源</t>
        </is>
      </c>
      <c r="O4" s="4" t="inlineStr">
        <is>
          <t>2021年3月印发化工园区地下水环境状况调查评估工作方案；截至2020年底重点监管单位名录1.3万余家。</t>
        </is>
      </c>
    </row>
    <row r="5" ht="48" customHeight="1">
      <c r="A5" s="4" t="inlineStr">
        <is>
          <t>全国</t>
        </is>
      </c>
      <c r="B5" s="4" t="inlineStr">
        <is>
          <t>全国</t>
        </is>
      </c>
      <c r="C5" s="4" t="inlineStr">
        <is>
          <t>首批国家级化工园区和重点铅锌矿区调查评估</t>
        </is>
      </c>
      <c r="D5" s="4" t="inlineStr">
        <is>
          <t>现场调查/成果集成</t>
        </is>
      </c>
      <c r="E5" s="4" t="inlineStr">
        <is>
          <t>2021</t>
        </is>
      </c>
      <c r="F5" s="4" t="inlineStr">
        <is>
          <t>68个国家级化工园区；9个重点铅锌矿区</t>
        </is>
      </c>
      <c r="G5" s="4" t="inlineStr">
        <is>
          <t>68个化工园区+9个矿区</t>
        </is>
      </c>
      <c r="H5" s="4" t="inlineStr">
        <is>
          <t>未披露</t>
        </is>
      </c>
      <c r="I5" s="4" t="inlineStr">
        <is>
          <t>未披露</t>
        </is>
      </c>
      <c r="J5" s="4" t="inlineStr">
        <is>
          <t>截至2021年12月全部完成现场调查，正在进行数据集成和成果总结</t>
        </is>
      </c>
      <c r="K5" s="4" t="inlineStr">
        <is>
          <t>现场调查完成</t>
        </is>
      </c>
      <c r="L5" s="4" t="inlineStr">
        <is>
          <t>S03</t>
        </is>
      </c>
      <c r="M5" s="4" t="inlineStr">
        <is>
          <t>中高</t>
        </is>
      </c>
      <c r="N5" s="6" t="inlineStr">
        <is>
          <t>打开来源</t>
        </is>
      </c>
      <c r="O5" s="4" t="inlineStr">
        <is>
          <t>2021年先期开展68个国家级化工园区和9个重点铅锌矿区调查评估，截至2021年12月全部完成现场调查。</t>
        </is>
      </c>
    </row>
    <row r="6" ht="48" customHeight="1">
      <c r="A6" s="4" t="inlineStr">
        <is>
          <t>全国</t>
        </is>
      </c>
      <c r="B6" s="4" t="inlineStr">
        <is>
          <t>全国</t>
        </is>
      </c>
      <c r="C6" s="4" t="inlineStr">
        <is>
          <t>全国化工园区地下水环境状况调查评估</t>
        </is>
      </c>
      <c r="D6" s="4" t="inlineStr">
        <is>
          <t>全国完成/问题转办</t>
        </is>
      </c>
      <c r="E6" s="4" t="inlineStr">
        <is>
          <t>2021-2022</t>
        </is>
      </c>
      <c r="F6" s="4" t="inlineStr">
        <is>
          <t>全国化工园区</t>
        </is>
      </c>
      <c r="G6" s="4" t="inlineStr">
        <is>
          <t>未披露</t>
        </is>
      </c>
      <c r="H6" s="4" t="inlineStr">
        <is>
          <t>未披露</t>
        </is>
      </c>
      <c r="I6" s="4" t="inlineStr">
        <is>
          <t>未披露</t>
        </is>
      </c>
      <c r="J6" s="4" t="inlineStr">
        <is>
          <t>部分化工园区污染问题较突出、环境管理要求落实不到位；12个典型化工园区管控修复试点</t>
        </is>
      </c>
      <c r="K6" s="4" t="inlineStr">
        <is>
          <t>进入整改/试点修复</t>
        </is>
      </c>
      <c r="L6" s="4" t="inlineStr">
        <is>
          <t>S04</t>
        </is>
      </c>
      <c r="M6" s="4" t="inlineStr">
        <is>
          <t>高</t>
        </is>
      </c>
      <c r="N6" s="6" t="inlineStr">
        <is>
          <t>打开来源</t>
        </is>
      </c>
      <c r="O6" s="4" t="inlineStr">
        <is>
          <t>2021-2022年完成全国化工园区地下水环境状况调查评估；部分园区污染问题突出；选择12个典型园区管控修复试点。</t>
        </is>
      </c>
    </row>
    <row r="7" ht="48" customHeight="1">
      <c r="A7" s="4" t="inlineStr">
        <is>
          <t>全国</t>
        </is>
      </c>
      <c r="B7" s="4" t="inlineStr">
        <is>
          <t>全国</t>
        </is>
      </c>
      <c r="C7" s="4" t="inlineStr">
        <is>
          <t>化工园区地下水污染专项整治</t>
        </is>
      </c>
      <c r="D7" s="4" t="inlineStr">
        <is>
          <t>专项整治绩效指标</t>
        </is>
      </c>
      <c r="E7" s="4" t="inlineStr">
        <is>
          <t>2026</t>
        </is>
      </c>
      <c r="F7" s="4" t="inlineStr">
        <is>
          <t>化工园区地下水污染专项整治</t>
        </is>
      </c>
      <c r="G7" s="4" t="inlineStr">
        <is>
          <t>399个化工园区</t>
        </is>
      </c>
      <c r="H7" s="4" t="inlineStr">
        <is>
          <t>未披露</t>
        </is>
      </c>
      <c r="I7" s="4" t="inlineStr">
        <is>
          <t>未披露</t>
        </is>
      </c>
      <c r="J7" s="4" t="inlineStr">
        <is>
          <t>生态环境部2026年度绩效指标设定指导开展399个化工园区专项整治</t>
        </is>
      </c>
      <c r="K7" s="4" t="inlineStr">
        <is>
          <t>年度绩效目标</t>
        </is>
      </c>
      <c r="L7" s="4" t="inlineStr">
        <is>
          <t>S05</t>
        </is>
      </c>
      <c r="M7" s="4" t="inlineStr">
        <is>
          <t>高</t>
        </is>
      </c>
      <c r="N7" s="6" t="inlineStr">
        <is>
          <t>打开来源</t>
        </is>
      </c>
      <c r="O7" s="4" t="inlineStr">
        <is>
          <t>2026年度绩效指标：指导开展化工园区地下水污染专项整治数量399个；地下水国控点位I-IV类水比例不低于76%。</t>
        </is>
      </c>
    </row>
    <row r="8" ht="48" customHeight="1">
      <c r="A8" s="4" t="inlineStr">
        <is>
          <t>云南</t>
        </is>
      </c>
      <c r="B8" s="4" t="inlineStr">
        <is>
          <t>安宁/富民/澄江/寻甸/泸西</t>
        </is>
      </c>
      <c r="C8" s="4" t="inlineStr">
        <is>
          <t>云南省省级化工园区地下水基础环境状况调查评估</t>
        </is>
      </c>
      <c r="D8" s="4" t="inlineStr">
        <is>
          <t>基础调查评估</t>
        </is>
      </c>
      <c r="E8" s="4" t="inlineStr">
        <is>
          <t>2021后实施；2025公开</t>
        </is>
      </c>
      <c r="F8" s="4" t="inlineStr">
        <is>
          <t>5个省级产业（化工）园区</t>
        </is>
      </c>
      <c r="G8" s="4" t="inlineStr">
        <is>
          <t>5个园区</t>
        </is>
      </c>
      <c r="H8" s="4" t="n">
        <v>1062.62</v>
      </c>
      <c r="I8" s="4" t="n">
        <v>163</v>
      </c>
      <c r="J8" s="4" t="inlineStr">
        <is>
          <t>水土样品采集检测953组；检测指标122项；查明污染源并构建污染概念模型</t>
        </is>
      </c>
      <c r="K8" s="4" t="inlineStr">
        <is>
          <t>公开案例披露成果</t>
        </is>
      </c>
      <c r="L8" s="4" t="inlineStr">
        <is>
          <t>S06</t>
        </is>
      </c>
      <c r="M8" s="4" t="inlineStr">
        <is>
          <t>高</t>
        </is>
      </c>
      <c r="N8" s="6" t="inlineStr">
        <is>
          <t>打开来源</t>
        </is>
      </c>
      <c r="O8" s="4" t="inlineStr">
        <is>
          <t>安宁、富民、澄江、寻甸、泸西等5个园区；测绘1062.62km2；监测井163眼；样品检测953组；检测指标122项。</t>
        </is>
      </c>
    </row>
    <row r="9" ht="48" customHeight="1">
      <c r="A9" s="4" t="inlineStr">
        <is>
          <t>湖北</t>
        </is>
      </c>
      <c r="B9" s="4" t="inlineStr">
        <is>
          <t>宜昌</t>
        </is>
      </c>
      <c r="C9" s="4" t="inlineStr">
        <is>
          <t>宜昌沿长江典型化工园区地下水质量状况调查评估</t>
        </is>
      </c>
      <c r="D9" s="4" t="inlineStr">
        <is>
          <t>成果验收</t>
        </is>
      </c>
      <c r="E9" s="4" t="inlineStr">
        <is>
          <t>2019申报；2021验收</t>
        </is>
      </c>
      <c r="F9" s="4" t="inlineStr">
        <is>
          <t>枝江姚家港、宜都、猇亭等7个园区</t>
        </is>
      </c>
      <c r="G9" s="4" t="inlineStr">
        <is>
          <t>7个园区</t>
        </is>
      </c>
      <c r="H9" s="4" t="inlineStr">
        <is>
          <t>未披露</t>
        </is>
      </c>
      <c r="I9" s="4" t="inlineStr">
        <is>
          <t>未披露</t>
        </is>
      </c>
      <c r="J9" s="4" t="inlineStr">
        <is>
          <t>基本反映7个化工园区地下水及土壤环境质量现状；中央水污染防治资金项目</t>
        </is>
      </c>
      <c r="K9" s="4" t="inlineStr">
        <is>
          <t>通过验收</t>
        </is>
      </c>
      <c r="L9" s="4" t="inlineStr">
        <is>
          <t>S07</t>
        </is>
      </c>
      <c r="M9" s="4" t="inlineStr">
        <is>
          <t>高</t>
        </is>
      </c>
      <c r="N9" s="6" t="inlineStr">
        <is>
          <t>打开来源</t>
        </is>
      </c>
      <c r="O9" s="4" t="inlineStr">
        <is>
          <t>宜昌7个化工园区地下水及土壤环境质量现状项目通过验收；中央水污染防治资金项目。</t>
        </is>
      </c>
    </row>
    <row r="10" ht="48" customHeight="1">
      <c r="A10" s="4" t="inlineStr">
        <is>
          <t>广东</t>
        </is>
      </c>
      <c r="B10" s="4" t="inlineStr">
        <is>
          <t>云浮</t>
        </is>
      </c>
      <c r="C10" s="4" t="inlineStr">
        <is>
          <t>第二批重点地下水“双源”地下水环境状况调查</t>
        </is>
      </c>
      <c r="D10" s="4" t="inlineStr">
        <is>
          <t>调查完成</t>
        </is>
      </c>
      <c r="E10" s="4" t="inlineStr">
        <is>
          <t>2023-07至2024-03</t>
        </is>
      </c>
      <c r="F10" s="4" t="inlineStr">
        <is>
          <t>10个重点地下水污染源，含1个工业园区</t>
        </is>
      </c>
      <c r="G10" s="4" t="inlineStr">
        <is>
          <t>10个污染源；1个工业园区</t>
        </is>
      </c>
      <c r="H10" s="4" t="n">
        <v>40</v>
      </c>
      <c r="I10" s="4" t="n">
        <v>68</v>
      </c>
      <c r="J10" s="4" t="inlineStr">
        <is>
          <t>工业园区布设16眼；丰水期和枯水期采样监测</t>
        </is>
      </c>
      <c r="K10" s="4" t="inlineStr">
        <is>
          <t>报告通过专家评审</t>
        </is>
      </c>
      <c r="L10" s="4" t="inlineStr">
        <is>
          <t>S08</t>
        </is>
      </c>
      <c r="M10" s="4" t="inlineStr">
        <is>
          <t>高</t>
        </is>
      </c>
      <c r="N10" s="6" t="inlineStr">
        <is>
          <t>打开来源</t>
        </is>
      </c>
      <c r="O10" s="4" t="inlineStr">
        <is>
          <t>10个重点地下水污染源含1个工业园区；调查面积约40km2；新布设监测井68眼，其中工业园区16眼。</t>
        </is>
      </c>
    </row>
    <row r="11" ht="48" customHeight="1">
      <c r="A11" s="4" t="inlineStr">
        <is>
          <t>山东</t>
        </is>
      </c>
      <c r="B11" s="4" t="inlineStr">
        <is>
          <t>烟台</t>
        </is>
      </c>
      <c r="C11" s="4" t="inlineStr">
        <is>
          <t>化工园区（集聚区）地下水环境状况调查</t>
        </is>
      </c>
      <c r="D11" s="4" t="inlineStr">
        <is>
          <t>调查完成</t>
        </is>
      </c>
      <c r="E11" s="4" t="inlineStr">
        <is>
          <t>2021</t>
        </is>
      </c>
      <c r="F11" s="4" t="inlineStr">
        <is>
          <t>6个化工园区、6个化工集聚区</t>
        </is>
      </c>
      <c r="G11" s="4" t="inlineStr">
        <is>
          <t>12个园区/集聚区</t>
        </is>
      </c>
      <c r="H11" s="4" t="n">
        <v>97.65000000000001</v>
      </c>
      <c r="I11" s="4" t="n">
        <v>104</v>
      </c>
      <c r="J11" s="4" t="inlineStr">
        <is>
          <t>水井调查164眼；重点关注区域2.3252km2；地表水样6件；样品检测126件</t>
        </is>
      </c>
      <c r="K11" s="4" t="inlineStr">
        <is>
          <t>阶段性调查完成</t>
        </is>
      </c>
      <c r="L11" s="4" t="inlineStr">
        <is>
          <t>S09</t>
        </is>
      </c>
      <c r="M11" s="4" t="inlineStr">
        <is>
          <t>高</t>
        </is>
      </c>
      <c r="N11" s="6" t="inlineStr">
        <is>
          <t>打开来源</t>
        </is>
      </c>
      <c r="O11" s="4" t="inlineStr">
        <is>
          <t>2021年6个化工园区和6个化工集聚区调查；现场踏勘97.65km2；水井调查164眼；监测井104眼；样品检测126件。</t>
        </is>
      </c>
    </row>
    <row r="12" ht="48" customHeight="1">
      <c r="A12" s="4" t="inlineStr">
        <is>
          <t>辽宁</t>
        </is>
      </c>
      <c r="B12" s="4" t="inlineStr">
        <is>
          <t>全省</t>
        </is>
      </c>
      <c r="C12" s="4" t="inlineStr">
        <is>
          <t>辽宁省化工园区地下水环境状况调查评估</t>
        </is>
      </c>
      <c r="D12" s="4" t="inlineStr">
        <is>
          <t>省级启动/采样</t>
        </is>
      </c>
      <c r="E12" s="4" t="inlineStr">
        <is>
          <t>2021-10启动</t>
        </is>
      </c>
      <c r="F12" s="4" t="inlineStr">
        <is>
          <t>全省化工园区；营口/沈阳先行</t>
        </is>
      </c>
      <c r="G12" s="4" t="inlineStr">
        <is>
          <t>未披露</t>
        </is>
      </c>
      <c r="H12" s="4" t="inlineStr">
        <is>
          <t>未披露</t>
        </is>
      </c>
      <c r="I12" s="4" t="inlineStr">
        <is>
          <t>第一眼监测井在营口仙人岛开钻</t>
        </is>
      </c>
      <c r="J12" s="4" t="inlineStr">
        <is>
          <t>营口、沈阳开始进场采样，拟建立化工园区监测网</t>
        </is>
      </c>
      <c r="K12" s="4" t="inlineStr">
        <is>
          <t>启动推进</t>
        </is>
      </c>
      <c r="L12" s="4" t="inlineStr">
        <is>
          <t>S10</t>
        </is>
      </c>
      <c r="M12" s="4" t="inlineStr">
        <is>
          <t>高</t>
        </is>
      </c>
      <c r="N12" s="6" t="inlineStr">
        <is>
          <t>打开来源</t>
        </is>
      </c>
      <c r="O12" s="4" t="inlineStr">
        <is>
          <t>第一眼地下水环境监测井在营口仙人岛经济开发区开钻；营口、沈阳化工园区开始进场采样。</t>
        </is>
      </c>
    </row>
    <row r="13" ht="48" customHeight="1">
      <c r="A13" s="4" t="inlineStr">
        <is>
          <t>辽宁</t>
        </is>
      </c>
      <c r="B13" s="4" t="inlineStr">
        <is>
          <t>全省</t>
        </is>
      </c>
      <c r="C13" s="4" t="inlineStr">
        <is>
          <t>辽宁省化工园区地下水环境状况调查评估项目</t>
        </is>
      </c>
      <c r="D13" s="4" t="inlineStr">
        <is>
          <t>省级绩效/成果集成</t>
        </is>
      </c>
      <c r="E13" s="4" t="inlineStr">
        <is>
          <t>2022</t>
        </is>
      </c>
      <c r="F13" s="4" t="inlineStr">
        <is>
          <t>省内化工园区</t>
        </is>
      </c>
      <c r="G13" s="4" t="inlineStr">
        <is>
          <t>目标32个；完成21个</t>
        </is>
      </c>
      <c r="H13" s="4" t="inlineStr">
        <is>
          <t>未披露</t>
        </is>
      </c>
      <c r="I13" s="4" t="inlineStr">
        <is>
          <t>未披露</t>
        </is>
      </c>
      <c r="J13" s="4" t="inlineStr">
        <is>
          <t>预算66万元、执行43万元；受疫情和冬季冻土影响11个未按期完成</t>
        </is>
      </c>
      <c r="K13" s="4" t="inlineStr">
        <is>
          <t>年度完成率66%</t>
        </is>
      </c>
      <c r="L13" s="4" t="inlineStr">
        <is>
          <t>S11</t>
        </is>
      </c>
      <c r="M13" s="4" t="inlineStr">
        <is>
          <t>中高</t>
        </is>
      </c>
      <c r="N13" s="6" t="inlineStr">
        <is>
          <t>打开来源</t>
        </is>
      </c>
      <c r="O13" s="4" t="inlineStr">
        <is>
          <t>化工园区地下水环境状况调查评估项目预算66万元、执行43万元；年度目标32个，完成21个。</t>
        </is>
      </c>
    </row>
    <row r="14" ht="48" customHeight="1">
      <c r="A14" s="4" t="inlineStr">
        <is>
          <t>辽宁</t>
        </is>
      </c>
      <c r="B14" s="4" t="inlineStr">
        <is>
          <t>辽阳</t>
        </is>
      </c>
      <c r="C14" s="4" t="inlineStr">
        <is>
          <t>辽阳芳烃及精细化工产业基地详细调查评估及污染溯源</t>
        </is>
      </c>
      <c r="D14" s="4" t="inlineStr">
        <is>
          <t>实施方案批复</t>
        </is>
      </c>
      <c r="E14" s="4" t="inlineStr">
        <is>
          <t>2023-04</t>
        </is>
      </c>
      <c r="F14" s="4" t="inlineStr">
        <is>
          <t>辽阳芳烃及精细化工产业基地</t>
        </is>
      </c>
      <c r="G14" s="4" t="inlineStr">
        <is>
          <t>1个基地</t>
        </is>
      </c>
      <c r="H14" s="4" t="inlineStr">
        <is>
          <t>未披露</t>
        </is>
      </c>
      <c r="I14" s="4" t="inlineStr">
        <is>
          <t>未披露</t>
        </is>
      </c>
      <c r="J14" s="4" t="inlineStr">
        <is>
          <t>查清污染羽范围和污染成因，制定风险管控或修复方案</t>
        </is>
      </c>
      <c r="K14" s="4" t="inlineStr">
        <is>
          <t>同意组织实施</t>
        </is>
      </c>
      <c r="L14" s="4" t="inlineStr">
        <is>
          <t>S12</t>
        </is>
      </c>
      <c r="M14" s="4" t="inlineStr">
        <is>
          <t>高</t>
        </is>
      </c>
      <c r="N14" s="6" t="inlineStr">
        <is>
          <t>打开来源</t>
        </is>
      </c>
      <c r="O14" s="4" t="inlineStr">
        <is>
          <t>同意实施辽阳芳烃及精细化工产业基地详细调查评估及地下水污染溯源，查清污染羽范围和污染成因。</t>
        </is>
      </c>
    </row>
    <row r="15" ht="48" customHeight="1">
      <c r="A15" s="4" t="inlineStr">
        <is>
          <t>河南</t>
        </is>
      </c>
      <c r="B15" s="4" t="inlineStr">
        <is>
          <t>全省/沿黄</t>
        </is>
      </c>
      <c r="C15" s="4" t="inlineStr">
        <is>
          <t>河南国家、省级化工园区地下水环境调查评估及成果集成</t>
        </is>
      </c>
      <c r="D15" s="4" t="inlineStr">
        <is>
          <t>成果集成/分级管理</t>
        </is>
      </c>
      <c r="E15" s="4" t="inlineStr">
        <is>
          <t>2023公开</t>
        </is>
      </c>
      <c r="F15" s="4" t="inlineStr">
        <is>
          <t>国家、省级化工园区</t>
        </is>
      </c>
      <c r="G15" s="4" t="inlineStr">
        <is>
          <t>37个园区</t>
        </is>
      </c>
      <c r="H15" s="4" t="inlineStr">
        <is>
          <t>未披露</t>
        </is>
      </c>
      <c r="I15" s="4" t="inlineStr">
        <is>
          <t>未披露</t>
        </is>
      </c>
      <c r="J15" s="4" t="inlineStr">
        <is>
          <t>完成37个国家、省级化工园区调查评估及成果集成，推进分级管理</t>
        </is>
      </c>
      <c r="K15" s="4" t="inlineStr">
        <is>
          <t>已完成成果集成</t>
        </is>
      </c>
      <c r="L15" s="4" t="inlineStr">
        <is>
          <t>S13</t>
        </is>
      </c>
      <c r="M15" s="4" t="inlineStr">
        <is>
          <t>高</t>
        </is>
      </c>
      <c r="N15" s="6" t="inlineStr">
        <is>
          <t>打开来源</t>
        </is>
      </c>
      <c r="O15" s="4" t="inlineStr">
        <is>
          <t>完成37个国家、省级化工园区地下水环境调查评估及成果集成，推进分级管理。</t>
        </is>
      </c>
    </row>
    <row r="16" ht="48" customHeight="1">
      <c r="A16" s="4" t="inlineStr">
        <is>
          <t>陕西</t>
        </is>
      </c>
      <c r="B16" s="4" t="inlineStr">
        <is>
          <t>全省</t>
        </is>
      </c>
      <c r="C16" s="4" t="inlineStr">
        <is>
          <t>陕西省化工园区地下水环境状况调查评估</t>
        </is>
      </c>
      <c r="D16" s="4" t="inlineStr">
        <is>
          <t>省级调查评估</t>
        </is>
      </c>
      <c r="E16" s="4" t="inlineStr">
        <is>
          <t>2021</t>
        </is>
      </c>
      <c r="F16" s="4" t="inlineStr">
        <is>
          <t>省内化工园区</t>
        </is>
      </c>
      <c r="G16" s="4" t="inlineStr">
        <is>
          <t>4个园区</t>
        </is>
      </c>
      <c r="H16" s="4" t="inlineStr">
        <is>
          <t>未披露</t>
        </is>
      </c>
      <c r="I16" s="4" t="inlineStr">
        <is>
          <t>未披露</t>
        </is>
      </c>
      <c r="J16" s="4" t="inlineStr">
        <is>
          <t>2021年启动陕西省化工园区地下水环境状况调查评估，完成4个园区</t>
        </is>
      </c>
      <c r="K16" s="4" t="inlineStr">
        <is>
          <t>已完成4个</t>
        </is>
      </c>
      <c r="L16" s="4" t="inlineStr">
        <is>
          <t>S14</t>
        </is>
      </c>
      <c r="M16" s="4" t="inlineStr">
        <is>
          <t>高</t>
        </is>
      </c>
      <c r="N16" s="6" t="inlineStr">
        <is>
          <t>打开来源</t>
        </is>
      </c>
      <c r="O16" s="4" t="inlineStr">
        <is>
          <t>启动陕西省化工园区地下水环境状况调查评估，完成4个化工园区调查评估工作。</t>
        </is>
      </c>
    </row>
    <row r="17" ht="48" customHeight="1">
      <c r="A17" s="4" t="inlineStr">
        <is>
          <t>陕西</t>
        </is>
      </c>
      <c r="B17" s="4" t="inlineStr">
        <is>
          <t>全省</t>
        </is>
      </c>
      <c r="C17" s="4" t="inlineStr">
        <is>
          <t>化工产业聚集区地下水污染状况调查评估</t>
        </is>
      </c>
      <c r="D17" s="4" t="inlineStr">
        <is>
          <t>调查评估/成果应用</t>
        </is>
      </c>
      <c r="E17" s="4" t="inlineStr">
        <is>
          <t>十四五以来；2023公开</t>
        </is>
      </c>
      <c r="F17" s="4" t="inlineStr">
        <is>
          <t>化工产业聚集区</t>
        </is>
      </c>
      <c r="G17" s="4" t="inlineStr">
        <is>
          <t>23个聚集区</t>
        </is>
      </c>
      <c r="H17" s="4" t="inlineStr">
        <is>
          <t>未披露</t>
        </is>
      </c>
      <c r="I17" s="4" t="inlineStr">
        <is>
          <t>未披露</t>
        </is>
      </c>
      <c r="J17" s="4" t="inlineStr">
        <is>
          <t>已完成全省23个化工产业聚集区调查评估，并推进成果应用</t>
        </is>
      </c>
      <c r="K17" s="4" t="inlineStr">
        <is>
          <t>成果应用推进</t>
        </is>
      </c>
      <c r="L17" s="4" t="inlineStr">
        <is>
          <t>S15</t>
        </is>
      </c>
      <c r="M17" s="4" t="inlineStr">
        <is>
          <t>高</t>
        </is>
      </c>
      <c r="N17" s="6" t="inlineStr">
        <is>
          <t>打开来源</t>
        </is>
      </c>
      <c r="O17" s="4" t="inlineStr">
        <is>
          <t>已完成全省23个化工产业聚集区地下水污染状况调查评估，并推进成果应用。</t>
        </is>
      </c>
    </row>
    <row r="18" ht="48" customHeight="1">
      <c r="A18" s="4" t="inlineStr">
        <is>
          <t>安徽</t>
        </is>
      </c>
      <c r="B18" s="4" t="inlineStr">
        <is>
          <t>六安叶集</t>
        </is>
      </c>
      <c r="C18" s="4" t="inlineStr">
        <is>
          <t>六安叶集化工园区地下水环境状况调查评估</t>
        </is>
      </c>
      <c r="D18" s="4" t="inlineStr">
        <is>
          <t>报告评审/质控</t>
        </is>
      </c>
      <c r="E18" s="4" t="inlineStr">
        <is>
          <t>2022</t>
        </is>
      </c>
      <c r="F18" s="4" t="inlineStr">
        <is>
          <t>叶集化工园区</t>
        </is>
      </c>
      <c r="G18" s="4" t="inlineStr">
        <is>
          <t>1个园区</t>
        </is>
      </c>
      <c r="H18" s="4" t="inlineStr">
        <is>
          <t>未披露</t>
        </is>
      </c>
      <c r="I18" s="4" t="inlineStr">
        <is>
          <t>未披露</t>
        </is>
      </c>
      <c r="J18" s="4" t="inlineStr">
        <is>
          <t>专家评审调查方案和成果报告；对资料收集、建井、样品采集开展现场/室内质控</t>
        </is>
      </c>
      <c r="K18" s="4" t="inlineStr">
        <is>
          <t>报告通过评审</t>
        </is>
      </c>
      <c r="L18" s="4" t="inlineStr">
        <is>
          <t>S16</t>
        </is>
      </c>
      <c r="M18" s="4" t="inlineStr">
        <is>
          <t>高</t>
        </is>
      </c>
      <c r="N18" s="6" t="inlineStr">
        <is>
          <t>打开来源</t>
        </is>
      </c>
      <c r="O18" s="4" t="inlineStr">
        <is>
          <t>六安叶集化工园区调查方案及成果报告组织专家评审，建井和采样环节现场监督指导。</t>
        </is>
      </c>
    </row>
    <row r="19" ht="48" customHeight="1">
      <c r="A19" s="4" t="inlineStr">
        <is>
          <t>上海</t>
        </is>
      </c>
      <c r="B19" s="4" t="inlineStr">
        <is>
          <t>青浦</t>
        </is>
      </c>
      <c r="C19" s="4" t="inlineStr">
        <is>
          <t>青浦工业园区地下水环境状况调查评估</t>
        </is>
      </c>
      <c r="D19" s="4" t="inlineStr">
        <is>
          <t>区级组织/方案报告</t>
        </is>
      </c>
      <c r="E19" s="4" t="inlineStr">
        <is>
          <t>2022</t>
        </is>
      </c>
      <c r="F19" s="4" t="inlineStr">
        <is>
          <t>青浦工业园区</t>
        </is>
      </c>
      <c r="G19" s="4" t="inlineStr">
        <is>
          <t>1个工业园区</t>
        </is>
      </c>
      <c r="H19" s="4" t="inlineStr">
        <is>
          <t>未披露</t>
        </is>
      </c>
      <c r="I19" s="4" t="inlineStr">
        <is>
          <t>未披露</t>
        </is>
      </c>
      <c r="J19" s="4" t="inlineStr">
        <is>
          <t>建立一园一档、一企一档、一园一方案、一园一报告；填报企业及监测井资料</t>
        </is>
      </c>
      <c r="K19" s="4" t="inlineStr">
        <is>
          <t>通知开展</t>
        </is>
      </c>
      <c r="L19" s="4" t="inlineStr">
        <is>
          <t>S17</t>
        </is>
      </c>
      <c r="M19" s="4" t="inlineStr">
        <is>
          <t>高</t>
        </is>
      </c>
      <c r="N19" s="6" t="inlineStr">
        <is>
          <t>打开来源</t>
        </is>
      </c>
      <c r="O19" s="4" t="inlineStr">
        <is>
          <t>要求建立一园一档、一企一档、一园一方案、一园一报告，并采集企业和监测井资料。</t>
        </is>
      </c>
    </row>
    <row r="20" ht="48" customHeight="1">
      <c r="A20" s="4" t="inlineStr">
        <is>
          <t>福建</t>
        </is>
      </c>
      <c r="B20" s="4" t="inlineStr">
        <is>
          <t>莆田</t>
        </is>
      </c>
      <c r="C20" s="4" t="inlineStr">
        <is>
          <t>湄洲湾国投经开区（石门澳化工新材料产业园）地下水调查与评估</t>
        </is>
      </c>
      <c r="D20" s="4" t="inlineStr">
        <is>
          <t>采购公告</t>
        </is>
      </c>
      <c r="E20" s="4" t="inlineStr">
        <is>
          <t>2022</t>
        </is>
      </c>
      <c r="F20" s="4" t="inlineStr">
        <is>
          <t>省级化工园区及周边1km</t>
        </is>
      </c>
      <c r="G20" s="4" t="inlineStr">
        <is>
          <t>1个园区及周边1km</t>
        </is>
      </c>
      <c r="H20" s="4" t="inlineStr">
        <is>
          <t>未披露</t>
        </is>
      </c>
      <c r="I20" s="4" t="inlineStr">
        <is>
          <t>39个地下水监测井</t>
        </is>
      </c>
      <c r="J20" s="4" t="inlineStr">
        <is>
          <t>预算165万元；新增钻探取样孔不少于36个；土壤样108个+平行11个；地下水样39个+平行4个；地下水指标35+6+7+9项</t>
        </is>
      </c>
      <c r="K20" s="4" t="inlineStr">
        <is>
          <t>采购公告</t>
        </is>
      </c>
      <c r="L20" s="4" t="inlineStr">
        <is>
          <t>S18</t>
        </is>
      </c>
      <c r="M20" s="4" t="inlineStr">
        <is>
          <t>高</t>
        </is>
      </c>
      <c r="N20" s="6" t="inlineStr">
        <is>
          <t>打开来源</t>
        </is>
      </c>
      <c r="O20" s="4" t="inlineStr">
        <is>
          <t>预算165万元；范围为园区及周边1km；新增钻探取样孔不少于36个；土壤样108个+平行11个；地下水样39个+平行4个。</t>
        </is>
      </c>
    </row>
    <row r="21" ht="48" customHeight="1">
      <c r="A21" s="4" t="inlineStr">
        <is>
          <t>湖南</t>
        </is>
      </c>
      <c r="B21" s="4" t="inlineStr">
        <is>
          <t>岳阳临湘</t>
        </is>
      </c>
      <c r="C21" s="4" t="inlineStr">
        <is>
          <t>临湘高新区滨江片区和三湾片区详细调查评估</t>
        </is>
      </c>
      <c r="D21" s="4" t="inlineStr">
        <is>
          <t>资金入库/采购组织</t>
        </is>
      </c>
      <c r="E21" s="4" t="inlineStr">
        <is>
          <t>2025</t>
        </is>
      </c>
      <c r="F21" s="4" t="inlineStr">
        <is>
          <t>临湘高新区滨江片区、三湾片区</t>
        </is>
      </c>
      <c r="G21" s="4" t="inlineStr">
        <is>
          <t>2个片区</t>
        </is>
      </c>
      <c r="H21" s="4" t="inlineStr">
        <is>
          <t>未披露</t>
        </is>
      </c>
      <c r="I21" s="4" t="inlineStr">
        <is>
          <t>未披露</t>
        </is>
      </c>
      <c r="J21" s="4" t="inlineStr">
        <is>
          <t>确定污染物种类、浓度和空间分布，开展风险评估，完善监测网；推荐入中央储备库</t>
        </is>
      </c>
      <c r="K21" s="4" t="inlineStr">
        <is>
          <t>前期基本完成/采购组织</t>
        </is>
      </c>
      <c r="L21" s="4" t="inlineStr">
        <is>
          <t>S19;S20</t>
        </is>
      </c>
      <c r="M21" s="4" t="inlineStr">
        <is>
          <t>高</t>
        </is>
      </c>
      <c r="N21" s="6" t="inlineStr">
        <is>
          <t>打开来源</t>
        </is>
      </c>
      <c r="O21" s="4" t="inlineStr">
        <is>
          <t>临湘高新区滨江片区和三湾片区详细调查，确定污染物种类、浓度和空间分布，开展风险评估。; 临湘高新区滨江片区和三湾片区地下水环境状况详细调查评估项目推荐入中央储备库。</t>
        </is>
      </c>
    </row>
    <row r="22" ht="48" customHeight="1">
      <c r="A22" s="4" t="inlineStr">
        <is>
          <t>内蒙古</t>
        </is>
      </c>
      <c r="B22" s="4" t="inlineStr">
        <is>
          <t>锡林郭勒苏尼特左旗</t>
        </is>
      </c>
      <c r="C22" s="4" t="inlineStr">
        <is>
          <t>苏尼特左旗产业园区地下水环境状况项目</t>
        </is>
      </c>
      <c r="D22" s="4" t="inlineStr">
        <is>
          <t>政府采购/调查评估</t>
        </is>
      </c>
      <c r="E22" s="4" t="inlineStr">
        <is>
          <t>2024</t>
        </is>
      </c>
      <c r="F22" s="4" t="inlineStr">
        <is>
          <t>苏尼特左旗产业园区</t>
        </is>
      </c>
      <c r="G22" s="4" t="inlineStr">
        <is>
          <t>1个园区</t>
        </is>
      </c>
      <c r="H22" s="4" t="inlineStr">
        <is>
          <t>未披露</t>
        </is>
      </c>
      <c r="I22" s="4" t="inlineStr">
        <is>
          <t>未披露</t>
        </is>
      </c>
      <c r="J22" s="4" t="inlineStr">
        <is>
          <t>资料编研、遥感解译、野外调查、钻探建井、样品测试、数值模拟</t>
        </is>
      </c>
      <c r="K22" s="4" t="inlineStr">
        <is>
          <t>招标文件披露实施要求</t>
        </is>
      </c>
      <c r="L22" s="4" t="inlineStr">
        <is>
          <t>S21</t>
        </is>
      </c>
      <c r="M22" s="4" t="inlineStr">
        <is>
          <t>中高</t>
        </is>
      </c>
      <c r="N22" s="6" t="inlineStr">
        <is>
          <t>打开来源</t>
        </is>
      </c>
      <c r="O22" s="4" t="inlineStr">
        <is>
          <t>工作内容覆盖资料编研、遥感解译、野外调查、钻探建井、样品采集测试、数值模拟。</t>
        </is>
      </c>
    </row>
    <row r="23" ht="48" customHeight="1">
      <c r="A23" s="4" t="inlineStr">
        <is>
          <t>浙江</t>
        </is>
      </c>
      <c r="B23" s="4" t="inlineStr">
        <is>
          <t>嘉兴桐乡</t>
        </is>
      </c>
      <c r="C23" s="4" t="inlineStr">
        <is>
          <t>桐乡经济开发区化工园区地下水详细调查任务</t>
        </is>
      </c>
      <c r="D23" s="4" t="inlineStr">
        <is>
          <t>公开招标</t>
        </is>
      </c>
      <c r="E23" s="4" t="inlineStr">
        <is>
          <t>2023</t>
        </is>
      </c>
      <c r="F23" s="4" t="inlineStr">
        <is>
          <t>桐乡经济开发区化工园区</t>
        </is>
      </c>
      <c r="G23" s="4" t="inlineStr">
        <is>
          <t>1个园区</t>
        </is>
      </c>
      <c r="H23" s="4" t="inlineStr">
        <is>
          <t>未披露</t>
        </is>
      </c>
      <c r="I23" s="4" t="inlineStr">
        <is>
          <t>未披露</t>
        </is>
      </c>
      <c r="J23" s="4" t="inlineStr">
        <is>
          <t>预算150万元；方案初稿、详细调查、专家审查后报省厅；数据录入国家地下水基础环境状况调查评估子系统</t>
        </is>
      </c>
      <c r="K23" s="4" t="inlineStr">
        <is>
          <t>招标公告</t>
        </is>
      </c>
      <c r="L23" s="4" t="inlineStr">
        <is>
          <t>S22</t>
        </is>
      </c>
      <c r="M23" s="4" t="inlineStr">
        <is>
          <t>中高</t>
        </is>
      </c>
      <c r="N23" s="6" t="inlineStr">
        <is>
          <t>打开来源</t>
        </is>
      </c>
      <c r="O23" s="4" t="inlineStr">
        <is>
          <t>预算150万元；对桐乡经开区化工园区地块土壤和地下水开展现状调查，数据录入国家地下水基础环境状况调查评估子系统。</t>
        </is>
      </c>
    </row>
    <row r="24" ht="48" customHeight="1">
      <c r="A24" s="4" t="inlineStr">
        <is>
          <t>安徽</t>
        </is>
      </c>
      <c r="B24" s="4" t="inlineStr">
        <is>
          <t>淮南</t>
        </is>
      </c>
      <c r="C24" s="4" t="inlineStr">
        <is>
          <t>淮南经开化工园区地下水环境状况详细调查评估</t>
        </is>
      </c>
      <c r="D24" s="4" t="inlineStr">
        <is>
          <t>竞争性磋商</t>
        </is>
      </c>
      <c r="E24" s="4" t="inlineStr">
        <is>
          <t>2024</t>
        </is>
      </c>
      <c r="F24" s="4" t="inlineStr">
        <is>
          <t>淮南经开化工园区</t>
        </is>
      </c>
      <c r="G24" s="4" t="inlineStr">
        <is>
          <t>1个园区</t>
        </is>
      </c>
      <c r="H24" s="4" t="inlineStr">
        <is>
          <t>未披露</t>
        </is>
      </c>
      <c r="I24" s="4" t="inlineStr">
        <is>
          <t>未披露</t>
        </is>
      </c>
      <c r="J24" s="4" t="inlineStr">
        <is>
          <t>预算28万元；针对2021年省级调查评估超标点位开展详细调查评估并编制报告</t>
        </is>
      </c>
      <c r="K24" s="4" t="inlineStr">
        <is>
          <t>采购公告</t>
        </is>
      </c>
      <c r="L24" s="4" t="inlineStr">
        <is>
          <t>S23</t>
        </is>
      </c>
      <c r="M24" s="4" t="inlineStr">
        <is>
          <t>中高</t>
        </is>
      </c>
      <c r="N24" s="6" t="inlineStr">
        <is>
          <t>打开来源</t>
        </is>
      </c>
      <c r="O24" s="4" t="inlineStr">
        <is>
          <t>预算28万元；针对2021年省级调查评估过程中超标点位开展详细调查评估，编制方案及评价报告书。</t>
        </is>
      </c>
    </row>
    <row r="25" ht="48" customHeight="1">
      <c r="A25" s="4" t="inlineStr">
        <is>
          <t>江苏</t>
        </is>
      </c>
      <c r="B25" s="4" t="inlineStr">
        <is>
          <t>苏州</t>
        </is>
      </c>
      <c r="C25" s="4" t="inlineStr">
        <is>
          <t>2022年化工园区地下水环境状况调查市级质控项目</t>
        </is>
      </c>
      <c r="D25" s="4" t="inlineStr">
        <is>
          <t>市级质控购买服务</t>
        </is>
      </c>
      <c r="E25" s="4" t="inlineStr">
        <is>
          <t>2022</t>
        </is>
      </c>
      <c r="F25" s="4" t="inlineStr">
        <is>
          <t>苏州行政区域各化工园区</t>
        </is>
      </c>
      <c r="G25" s="4" t="inlineStr">
        <is>
          <t>未披露</t>
        </is>
      </c>
      <c r="H25" s="4" t="inlineStr">
        <is>
          <t>未披露</t>
        </is>
      </c>
      <c r="I25" s="4" t="inlineStr">
        <is>
          <t>未披露</t>
        </is>
      </c>
      <c r="J25" s="4" t="inlineStr">
        <is>
          <t>合同74.88万元；对资料收集、方案编制、建井取样、分析检测、报告编制外审抽查</t>
        </is>
      </c>
      <c r="K25" s="4" t="inlineStr">
        <is>
          <t>购买服务公开</t>
        </is>
      </c>
      <c r="L25" s="4" t="inlineStr">
        <is>
          <t>S24</t>
        </is>
      </c>
      <c r="M25" s="4" t="inlineStr">
        <is>
          <t>中高</t>
        </is>
      </c>
      <c r="N25" s="6" t="inlineStr">
        <is>
          <t>打开来源</t>
        </is>
      </c>
      <c r="O25" s="4" t="inlineStr">
        <is>
          <t>合同金额74.88万元；对2022年化工园区调查评估资料收集、方案编制、建井取样、分析检测、报告编制开展外审抽查。</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s>
  <pageMargins left="0.75" right="0.75" top="1" bottom="1" header="0.5" footer="0.5"/>
  <tableParts count="1">
    <tablePart xmlns:r="http://schemas.openxmlformats.org/officeDocument/2006/relationships" r:id="rId25"/>
  </tableParts>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4" customWidth="1" min="1" max="1"/>
    <col width="11.6" customWidth="1" min="2" max="2"/>
    <col width="12.8" customWidth="1" min="3" max="3"/>
    <col width="10" customWidth="1" min="4" max="4"/>
    <col width="23.6" customWidth="1" min="5" max="5"/>
    <col width="15.2" customWidth="1" min="6" max="6"/>
    <col width="10" customWidth="1" min="7" max="7"/>
    <col width="20" customWidth="1" min="8" max="8"/>
  </cols>
  <sheetData>
    <row r="1" ht="24" customHeight="1">
      <c r="A1" s="2" t="inlineStr">
        <is>
          <t>区域/项目</t>
        </is>
      </c>
      <c r="B1" s="2" t="inlineStr">
        <is>
          <t>明确园区/对象数</t>
        </is>
      </c>
      <c r="C1" s="2" t="inlineStr">
        <is>
          <t>调查面积(km²)</t>
        </is>
      </c>
      <c r="D1" s="2" t="inlineStr">
        <is>
          <t>监测井数量</t>
        </is>
      </c>
      <c r="E1" s="2" t="inlineStr">
        <is>
          <t>样品/检测数量</t>
        </is>
      </c>
      <c r="F1" s="2" t="inlineStr">
        <is>
          <t>预算/合同金额(万元)</t>
        </is>
      </c>
      <c r="G1" s="2" t="inlineStr">
        <is>
          <t>来源ID</t>
        </is>
      </c>
      <c r="H1" s="2" t="inlineStr">
        <is>
          <t>备注</t>
        </is>
      </c>
    </row>
    <row r="2" ht="48" customHeight="1">
      <c r="A2" s="4" t="inlineStr">
        <is>
          <t>全国专项整治</t>
        </is>
      </c>
      <c r="B2" s="4" t="n">
        <v>399</v>
      </c>
      <c r="C2" s="4" t="inlineStr"/>
      <c r="D2" s="4" t="inlineStr"/>
      <c r="E2" s="4" t="inlineStr"/>
      <c r="F2" s="4" t="inlineStr"/>
      <c r="G2" s="4" t="inlineStr">
        <is>
          <t>S05</t>
        </is>
      </c>
      <c r="H2" s="4" t="inlineStr">
        <is>
          <t>2026绩效指标</t>
        </is>
      </c>
    </row>
    <row r="3" ht="48" customHeight="1">
      <c r="A3" s="4" t="inlineStr">
        <is>
          <t>全国首批现场调查</t>
        </is>
      </c>
      <c r="B3" s="4" t="n">
        <v>68</v>
      </c>
      <c r="C3" s="4" t="inlineStr"/>
      <c r="D3" s="4" t="inlineStr"/>
      <c r="E3" s="4" t="inlineStr"/>
      <c r="F3" s="4" t="inlineStr"/>
      <c r="G3" s="4" t="inlineStr">
        <is>
          <t>S03</t>
        </is>
      </c>
      <c r="H3" s="4" t="inlineStr">
        <is>
          <t>另有9个重点铅锌矿区</t>
        </is>
      </c>
    </row>
    <row r="4" ht="48" customHeight="1">
      <c r="A4" s="4" t="inlineStr">
        <is>
          <t>云南5园区</t>
        </is>
      </c>
      <c r="B4" s="4" t="n">
        <v>5</v>
      </c>
      <c r="C4" s="4" t="n">
        <v>1062.62</v>
      </c>
      <c r="D4" s="4" t="n">
        <v>163</v>
      </c>
      <c r="E4" s="4" t="n">
        <v>953</v>
      </c>
      <c r="F4" s="4" t="inlineStr"/>
      <c r="G4" s="4" t="inlineStr">
        <is>
          <t>S06</t>
        </is>
      </c>
      <c r="H4" s="4" t="inlineStr">
        <is>
          <t>检测指标122项</t>
        </is>
      </c>
    </row>
    <row r="5" ht="48" customHeight="1">
      <c r="A5" s="4" t="inlineStr">
        <is>
          <t>湖北宜昌沿长江园区</t>
        </is>
      </c>
      <c r="B5" s="4" t="n">
        <v>7</v>
      </c>
      <c r="C5" s="4" t="inlineStr"/>
      <c r="D5" s="4" t="inlineStr"/>
      <c r="E5" s="4" t="inlineStr"/>
      <c r="F5" s="4" t="inlineStr"/>
      <c r="G5" s="4" t="inlineStr">
        <is>
          <t>S07</t>
        </is>
      </c>
      <c r="H5" s="4" t="inlineStr">
        <is>
          <t>7个园区验收</t>
        </is>
      </c>
    </row>
    <row r="6" ht="48" customHeight="1">
      <c r="A6" s="4" t="inlineStr">
        <is>
          <t>广东云浮第二批双源</t>
        </is>
      </c>
      <c r="B6" s="4" t="n">
        <v>10</v>
      </c>
      <c r="C6" s="4" t="n">
        <v>40</v>
      </c>
      <c r="D6" s="4" t="n">
        <v>68</v>
      </c>
      <c r="E6" s="4" t="inlineStr"/>
      <c r="F6" s="4" t="inlineStr"/>
      <c r="G6" s="4" t="inlineStr">
        <is>
          <t>S08</t>
        </is>
      </c>
      <c r="H6" s="4" t="inlineStr">
        <is>
          <t>含1个工业园区，工业园区16眼</t>
        </is>
      </c>
    </row>
    <row r="7" ht="48" customHeight="1">
      <c r="A7" s="4" t="inlineStr">
        <is>
          <t>山东烟台园区/集聚区</t>
        </is>
      </c>
      <c r="B7" s="4" t="n">
        <v>12</v>
      </c>
      <c r="C7" s="4" t="n">
        <v>97.65000000000001</v>
      </c>
      <c r="D7" s="4" t="n">
        <v>104</v>
      </c>
      <c r="E7" s="4" t="n">
        <v>126</v>
      </c>
      <c r="F7" s="4" t="inlineStr"/>
      <c r="G7" s="4" t="inlineStr">
        <is>
          <t>S09</t>
        </is>
      </c>
      <c r="H7" s="4" t="inlineStr">
        <is>
          <t>水井调查164眼</t>
        </is>
      </c>
    </row>
    <row r="8" ht="48" customHeight="1">
      <c r="A8" s="4" t="inlineStr">
        <is>
          <t>辽宁2022绩效完成</t>
        </is>
      </c>
      <c r="B8" s="4" t="n">
        <v>21</v>
      </c>
      <c r="C8" s="4" t="inlineStr"/>
      <c r="D8" s="4" t="inlineStr"/>
      <c r="E8" s="4" t="inlineStr"/>
      <c r="F8" s="4" t="n">
        <v>43</v>
      </c>
      <c r="G8" s="4" t="inlineStr">
        <is>
          <t>S11</t>
        </is>
      </c>
      <c r="H8" s="4" t="inlineStr">
        <is>
          <t>目标32个，执行43万元</t>
        </is>
      </c>
    </row>
    <row r="9" ht="48" customHeight="1">
      <c r="A9" s="4" t="inlineStr">
        <is>
          <t>河南国家/省级园区</t>
        </is>
      </c>
      <c r="B9" s="4" t="n">
        <v>37</v>
      </c>
      <c r="C9" s="4" t="inlineStr"/>
      <c r="D9" s="4" t="inlineStr"/>
      <c r="E9" s="4" t="inlineStr"/>
      <c r="F9" s="4" t="inlineStr"/>
      <c r="G9" s="4" t="inlineStr">
        <is>
          <t>S13</t>
        </is>
      </c>
      <c r="H9" s="4" t="inlineStr">
        <is>
          <t>调查评估及成果集成</t>
        </is>
      </c>
    </row>
    <row r="10" ht="48" customHeight="1">
      <c r="A10" s="4" t="inlineStr">
        <is>
          <t>陕西2021完成园区</t>
        </is>
      </c>
      <c r="B10" s="4" t="n">
        <v>4</v>
      </c>
      <c r="C10" s="4" t="inlineStr"/>
      <c r="D10" s="4" t="inlineStr"/>
      <c r="E10" s="4" t="inlineStr"/>
      <c r="F10" s="4" t="inlineStr"/>
      <c r="G10" s="4" t="inlineStr">
        <is>
          <t>S14</t>
        </is>
      </c>
      <c r="H10" s="4" t="inlineStr">
        <is>
          <t>2021公报</t>
        </is>
      </c>
    </row>
    <row r="11" ht="48" customHeight="1">
      <c r="A11" s="4" t="inlineStr">
        <is>
          <t>陕西十四五聚集区</t>
        </is>
      </c>
      <c r="B11" s="4" t="n">
        <v>23</v>
      </c>
      <c r="C11" s="4" t="inlineStr"/>
      <c r="D11" s="4" t="inlineStr"/>
      <c r="E11" s="4" t="inlineStr"/>
      <c r="F11" s="4" t="inlineStr"/>
      <c r="G11" s="4" t="inlineStr">
        <is>
          <t>S15</t>
        </is>
      </c>
      <c r="H11" s="4" t="inlineStr">
        <is>
          <t>成果应用推进</t>
        </is>
      </c>
    </row>
    <row r="12" ht="48" customHeight="1">
      <c r="A12" s="4" t="inlineStr">
        <is>
          <t>福建莆田石门澳</t>
        </is>
      </c>
      <c r="B12" s="4" t="n">
        <v>1</v>
      </c>
      <c r="C12" s="4" t="inlineStr"/>
      <c r="D12" s="4" t="n">
        <v>39</v>
      </c>
      <c r="E12" s="4" t="inlineStr">
        <is>
          <t>土壤样108+11；地下水样39+4</t>
        </is>
      </c>
      <c r="F12" s="4" t="n">
        <v>165</v>
      </c>
      <c r="G12" s="4" t="inlineStr">
        <is>
          <t>S18</t>
        </is>
      </c>
      <c r="H12" s="4" t="inlineStr">
        <is>
          <t>预算165万元</t>
        </is>
      </c>
    </row>
    <row r="13" ht="48" customHeight="1">
      <c r="A13" s="4" t="inlineStr">
        <is>
          <t>浙江桐乡经开化工园区</t>
        </is>
      </c>
      <c r="B13" s="4" t="n">
        <v>1</v>
      </c>
      <c r="C13" s="4" t="inlineStr"/>
      <c r="D13" s="4" t="inlineStr"/>
      <c r="E13" s="4" t="inlineStr"/>
      <c r="F13" s="4" t="n">
        <v>150</v>
      </c>
      <c r="G13" s="4" t="inlineStr">
        <is>
          <t>S22</t>
        </is>
      </c>
      <c r="H13" s="4" t="inlineStr">
        <is>
          <t>预算150万元</t>
        </is>
      </c>
    </row>
    <row r="14" ht="48" customHeight="1">
      <c r="A14" s="4" t="inlineStr">
        <is>
          <t>安徽淮南经开化工园区</t>
        </is>
      </c>
      <c r="B14" s="4" t="n">
        <v>1</v>
      </c>
      <c r="C14" s="4" t="inlineStr"/>
      <c r="D14" s="4" t="inlineStr"/>
      <c r="E14" s="4" t="inlineStr"/>
      <c r="F14" s="4" t="n">
        <v>28</v>
      </c>
      <c r="G14" s="4" t="inlineStr">
        <is>
          <t>S23</t>
        </is>
      </c>
      <c r="H14" s="4" t="inlineStr">
        <is>
          <t>预算28万元</t>
        </is>
      </c>
    </row>
    <row r="15" ht="48" customHeight="1">
      <c r="A15" s="4" t="inlineStr">
        <is>
          <t>江苏苏州市级质控</t>
        </is>
      </c>
      <c r="B15" s="4" t="n"/>
      <c r="C15" s="4" t="inlineStr"/>
      <c r="D15" s="4" t="inlineStr"/>
      <c r="E15" s="4" t="inlineStr"/>
      <c r="F15" s="4" t="n">
        <v>74.88</v>
      </c>
      <c r="G15" s="4" t="inlineStr">
        <is>
          <t>S24</t>
        </is>
      </c>
      <c r="H15" s="4" t="inlineStr">
        <is>
          <t>合同74.88万元</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9.6" customWidth="1" min="1" max="1"/>
    <col width="14" customWidth="1" min="2" max="2"/>
    <col width="22.4" customWidth="1" min="3" max="3"/>
    <col width="29.6" customWidth="1" min="4" max="4"/>
    <col width="27.2" customWidth="1" min="5" max="5"/>
    <col width="17.6" customWidth="1" min="6" max="6"/>
    <col width="42" customWidth="1" min="7" max="7"/>
    <col width="39.2" customWidth="1" min="8" max="8"/>
    <col width="10" customWidth="1" min="9" max="9"/>
  </cols>
  <sheetData>
    <row r="1" ht="24" customHeight="1">
      <c r="A1" s="2" t="inlineStr">
        <is>
          <t>项目</t>
        </is>
      </c>
      <c r="B1" s="2" t="inlineStr">
        <is>
          <t>预算/合同额(万元)</t>
        </is>
      </c>
      <c r="C1" s="2" t="inlineStr">
        <is>
          <t>范围/对象</t>
        </is>
      </c>
      <c r="D1" s="2" t="inlineStr">
        <is>
          <t>钻探/监测井</t>
        </is>
      </c>
      <c r="E1" s="2" t="inlineStr">
        <is>
          <t>土壤样品</t>
        </is>
      </c>
      <c r="F1" s="2" t="inlineStr">
        <is>
          <t>地下水样品</t>
        </is>
      </c>
      <c r="G1" s="2" t="inlineStr">
        <is>
          <t>检测指标</t>
        </is>
      </c>
      <c r="H1" s="2" t="inlineStr">
        <is>
          <t>质控/验收要求</t>
        </is>
      </c>
      <c r="I1" s="2" t="inlineStr">
        <is>
          <t>来源ID</t>
        </is>
      </c>
    </row>
    <row r="2" ht="48" customHeight="1">
      <c r="A2" s="4" t="inlineStr">
        <is>
          <t>福建莆田石门澳化工新材料产业园地下水调查与评估</t>
        </is>
      </c>
      <c r="B2" s="4" t="n">
        <v>165</v>
      </c>
      <c r="C2" s="4" t="inlineStr">
        <is>
          <t>园区及周边1km；省级化工园区</t>
        </is>
      </c>
      <c r="D2" s="4" t="inlineStr">
        <is>
          <t>新增钻探取样孔不少于36个；地下水监测井39个</t>
        </is>
      </c>
      <c r="E2" s="4" t="inlineStr">
        <is>
          <t>36点位×至少3层=108个；平行样11个</t>
        </is>
      </c>
      <c r="F2" s="4" t="inlineStr">
        <is>
          <t>39个地下水样；平行样4个</t>
        </is>
      </c>
      <c r="G2" s="4" t="inlineStr">
        <is>
          <t>土壤特征17项；地下水常规35项+离子/CO2 6项+特征7项+现场9项</t>
        </is>
      </c>
      <c r="H2" s="4" t="inlineStr">
        <is>
          <t>第三方外部质控；报告专家评审；验收后10个工作日上传省厅平台</t>
        </is>
      </c>
      <c r="I2" s="4" t="inlineStr">
        <is>
          <t>S18</t>
        </is>
      </c>
    </row>
    <row r="3" ht="48" customHeight="1">
      <c r="A3" s="4" t="inlineStr">
        <is>
          <t>辽宁省化工园区地下水环境状况调查评估项目</t>
        </is>
      </c>
      <c r="B3" s="4" t="n">
        <v>66</v>
      </c>
      <c r="C3" s="4" t="inlineStr">
        <is>
          <t>省级项目，目标32个化工园区</t>
        </is>
      </c>
      <c r="D3" s="4" t="inlineStr">
        <is>
          <t>未披露</t>
        </is>
      </c>
      <c r="E3" s="4" t="inlineStr">
        <is>
          <t>未披露</t>
        </is>
      </c>
      <c r="F3" s="4" t="inlineStr">
        <is>
          <t>未披露</t>
        </is>
      </c>
      <c r="G3" s="4" t="inlineStr">
        <is>
          <t>未披露</t>
        </is>
      </c>
      <c r="H3" s="4" t="inlineStr">
        <is>
          <t>2022年完成21个；疫情和冻土导致11个未按期完成</t>
        </is>
      </c>
      <c r="I3" s="4" t="inlineStr">
        <is>
          <t>S11</t>
        </is>
      </c>
    </row>
    <row r="4" ht="48" customHeight="1">
      <c r="A4" s="4" t="inlineStr">
        <is>
          <t>浙江桐乡经济开发区化工园区详细调查任务</t>
        </is>
      </c>
      <c r="B4" s="4" t="n">
        <v>150</v>
      </c>
      <c r="C4" s="4" t="inlineStr">
        <is>
          <t>桐乡经开区化工园区地块土壤和地下水</t>
        </is>
      </c>
      <c r="D4" s="4" t="inlineStr">
        <is>
          <t>未披露</t>
        </is>
      </c>
      <c r="E4" s="4" t="inlineStr">
        <is>
          <t>未披露</t>
        </is>
      </c>
      <c r="F4" s="4" t="inlineStr">
        <is>
          <t>未披露</t>
        </is>
      </c>
      <c r="G4" s="4" t="inlineStr">
        <is>
          <t>未披露</t>
        </is>
      </c>
      <c r="H4" s="4" t="inlineStr">
        <is>
          <t>专家审查后报省厅，数据录入国家地下水基础环境状况调查评估子系统</t>
        </is>
      </c>
      <c r="I4" s="4" t="inlineStr">
        <is>
          <t>S22</t>
        </is>
      </c>
    </row>
    <row r="5" ht="48" customHeight="1">
      <c r="A5" s="4" t="inlineStr">
        <is>
          <t>安徽淮南经开化工园区详细调查评估</t>
        </is>
      </c>
      <c r="B5" s="4" t="n">
        <v>28</v>
      </c>
      <c r="C5" s="4" t="inlineStr">
        <is>
          <t>针对2021年省级调查超标点位</t>
        </is>
      </c>
      <c r="D5" s="4" t="inlineStr">
        <is>
          <t>未披露</t>
        </is>
      </c>
      <c r="E5" s="4" t="inlineStr">
        <is>
          <t>未披露</t>
        </is>
      </c>
      <c r="F5" s="4" t="inlineStr">
        <is>
          <t>未披露</t>
        </is>
      </c>
      <c r="G5" s="4" t="inlineStr">
        <is>
          <t>未披露</t>
        </is>
      </c>
      <c r="H5" s="4" t="inlineStr">
        <is>
          <t>编制详细调查评估方案及评价报告书</t>
        </is>
      </c>
      <c r="I5" s="4" t="inlineStr">
        <is>
          <t>S23</t>
        </is>
      </c>
    </row>
    <row r="6" ht="48" customHeight="1">
      <c r="A6" s="4" t="inlineStr">
        <is>
          <t>江苏苏州化工园区地下水调查市级质控</t>
        </is>
      </c>
      <c r="B6" s="4" t="n">
        <v>74.88</v>
      </c>
      <c r="C6" s="4" t="inlineStr">
        <is>
          <t>苏州行政区域各化工园区调查评估质控</t>
        </is>
      </c>
      <c r="D6" s="4" t="inlineStr">
        <is>
          <t>建井取样外审抽查</t>
        </is>
      </c>
      <c r="E6" s="4" t="inlineStr">
        <is>
          <t>样品采集质控</t>
        </is>
      </c>
      <c r="F6" s="4" t="inlineStr">
        <is>
          <t>分析检测质控</t>
        </is>
      </c>
      <c r="G6" s="4" t="inlineStr">
        <is>
          <t>未披露</t>
        </is>
      </c>
      <c r="H6" s="4" t="inlineStr">
        <is>
          <t>组织评审技术方案、调查评估报告</t>
        </is>
      </c>
      <c r="I6" s="4" t="inlineStr">
        <is>
          <t>S24</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8" customWidth="1" min="1" max="1"/>
    <col width="40.4" customWidth="1" min="2" max="2"/>
    <col width="21.2" customWidth="1" min="3" max="3"/>
    <col width="15.2" customWidth="1" min="4" max="4"/>
  </cols>
  <sheetData>
    <row r="1" ht="24" customHeight="1">
      <c r="A1" s="2" t="inlineStr">
        <is>
          <t>模块</t>
        </is>
      </c>
      <c r="B1" s="2" t="inlineStr">
        <is>
          <t>典型字段/动作</t>
        </is>
      </c>
      <c r="C1" s="2" t="inlineStr">
        <is>
          <t>为什么重要</t>
        </is>
      </c>
      <c r="D1" s="2" t="inlineStr">
        <is>
          <t>来源支撑</t>
        </is>
      </c>
    </row>
    <row r="2" ht="48" customHeight="1">
      <c r="A2" s="4" t="inlineStr">
        <is>
          <t>一园一档/一企一档</t>
        </is>
      </c>
      <c r="B2" s="4" t="inlineStr">
        <is>
          <t>园区基本信息、企业基础资料、产排污资料、历史监测资料、监测井资料</t>
        </is>
      </c>
      <c r="C2" s="4" t="inlineStr">
        <is>
          <t>支撑从项目表走向可运营监管台账</t>
        </is>
      </c>
      <c r="D2" s="4" t="inlineStr">
        <is>
          <t>S17/S06</t>
        </is>
      </c>
    </row>
    <row r="3" ht="48" customHeight="1">
      <c r="A3" s="4" t="inlineStr">
        <is>
          <t>水文地质调查</t>
        </is>
      </c>
      <c r="B3" s="4" t="inlineStr">
        <is>
          <t>含水层、隔水层、补径排、地下水系统、边界条件</t>
        </is>
      </c>
      <c r="C3" s="4" t="inlineStr">
        <is>
          <t>污染羽判断和模拟预测的前提</t>
        </is>
      </c>
      <c r="D3" s="4" t="inlineStr">
        <is>
          <t>S18/S06</t>
        </is>
      </c>
    </row>
    <row r="4" ht="48" customHeight="1">
      <c r="A4" s="4" t="inlineStr">
        <is>
          <t>监测井建设</t>
        </is>
      </c>
      <c r="B4" s="4" t="inlineStr">
        <is>
          <t>位置、深度、成井层位、井台、标识、洗井记录</t>
        </is>
      </c>
      <c r="C4" s="4" t="inlineStr">
        <is>
          <t>决定长期监测网络是否可用</t>
        </is>
      </c>
      <c r="D4" s="4" t="inlineStr">
        <is>
          <t>S18/S21</t>
        </is>
      </c>
    </row>
    <row r="5" ht="48" customHeight="1">
      <c r="A5" s="4" t="inlineStr">
        <is>
          <t>样品采集与流转</t>
        </is>
      </c>
      <c r="B5" s="4" t="inlineStr">
        <is>
          <t>土壤/地下水样品、平行样、保存、交接、质控记录</t>
        </is>
      </c>
      <c r="C5" s="4" t="inlineStr">
        <is>
          <t>确保数据可采信、可验收、可追溯</t>
        </is>
      </c>
      <c r="D5" s="4" t="inlineStr">
        <is>
          <t>S18/S16</t>
        </is>
      </c>
    </row>
    <row r="6" ht="48" customHeight="1">
      <c r="A6" s="4" t="inlineStr">
        <is>
          <t>指标检测</t>
        </is>
      </c>
      <c r="B6" s="4" t="inlineStr">
        <is>
          <t>常规指标、八大离子、特征污染物、现场指标</t>
        </is>
      </c>
      <c r="C6" s="4" t="inlineStr">
        <is>
          <t>识别特征污染物和污染程度</t>
        </is>
      </c>
      <c r="D6" s="4" t="inlineStr">
        <is>
          <t>S18/S06</t>
        </is>
      </c>
    </row>
    <row r="7" ht="48" customHeight="1">
      <c r="A7" s="4" t="inlineStr">
        <is>
          <t>风险评估/模拟预测</t>
        </is>
      </c>
      <c r="B7" s="4" t="inlineStr">
        <is>
          <t>污染羽范围、浓度、空间分布、健康风险、修复管控建议</t>
        </is>
      </c>
      <c r="C7" s="4" t="inlineStr">
        <is>
          <t>从调查走向治理闭环</t>
        </is>
      </c>
      <c r="D7" s="4" t="inlineStr">
        <is>
          <t>S12/S19/S21</t>
        </is>
      </c>
    </row>
    <row r="8" ht="48" customHeight="1">
      <c r="A8" s="4" t="inlineStr">
        <is>
          <t>成果报送</t>
        </is>
      </c>
      <c r="B8" s="4" t="inlineStr">
        <is>
          <t>专家评审、报告修改、信息化平台/国家子系统录入</t>
        </is>
      </c>
      <c r="C8" s="4" t="inlineStr">
        <is>
          <t>形成监管可用成果，不只是一份报告</t>
        </is>
      </c>
      <c r="D8" s="4" t="inlineStr">
        <is>
          <t>S18/S22</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28.4" customWidth="1" min="2" max="2"/>
    <col width="14" customWidth="1" min="3" max="3"/>
    <col width="17.6" customWidth="1" min="4" max="4"/>
    <col width="42" customWidth="1" min="5" max="5"/>
    <col width="42" customWidth="1" min="6" max="6"/>
  </cols>
  <sheetData>
    <row r="1" ht="24" customHeight="1">
      <c r="A1" s="2" t="inlineStr">
        <is>
          <t>来源ID</t>
        </is>
      </c>
      <c r="B1" s="2" t="inlineStr">
        <is>
          <t>名称</t>
        </is>
      </c>
      <c r="C1" s="2" t="inlineStr">
        <is>
          <t>日期</t>
        </is>
      </c>
      <c r="D1" s="2" t="inlineStr">
        <is>
          <t>类型</t>
        </is>
      </c>
      <c r="E1" s="2" t="inlineStr">
        <is>
          <t>链接</t>
        </is>
      </c>
      <c r="F1" s="2" t="inlineStr">
        <is>
          <t>证据摘要</t>
        </is>
      </c>
    </row>
    <row r="2" ht="48" customHeight="1">
      <c r="A2" s="4" t="inlineStr">
        <is>
          <t>S01</t>
        </is>
      </c>
      <c r="B2" s="4" t="inlineStr">
        <is>
          <t>生态环境部政协提案答复</t>
        </is>
      </c>
      <c r="C2" s="4" t="inlineStr">
        <is>
          <t>2021-07-07</t>
        </is>
      </c>
      <c r="D2" s="4" t="inlineStr">
        <is>
          <t>部委公开信息</t>
        </is>
      </c>
      <c r="E2" s="6" t="inlineStr">
        <is>
          <t>打开来源</t>
        </is>
      </c>
      <c r="F2" s="4" t="inlineStr">
        <is>
          <t>2021年3月印发化工园区地下水环境状况调查评估工作方案；截至2020年底重点监管单位名录1.3万余家。</t>
        </is>
      </c>
    </row>
    <row r="3" ht="48" customHeight="1">
      <c r="A3" s="4" t="inlineStr">
        <is>
          <t>S02</t>
        </is>
      </c>
      <c r="B3" s="4" t="inlineStr">
        <is>
          <t>生态环境部地下水保护发布会参考</t>
        </is>
      </c>
      <c r="C3" s="4" t="inlineStr">
        <is>
          <t>2019-11-30</t>
        </is>
      </c>
      <c r="D3" s="4" t="inlineStr">
        <is>
          <t>部委新闻材料</t>
        </is>
      </c>
      <c r="E3" s="6" t="inlineStr">
        <is>
          <t>打开来源</t>
        </is>
      </c>
      <c r="F3" s="4" t="inlineStr">
        <is>
          <t>2011-2017年全国地下水基础环境状况调查评估；2018-2019年典型工业园区周边调查和风险评估。</t>
        </is>
      </c>
    </row>
    <row r="4" ht="48" customHeight="1">
      <c r="A4" s="4" t="inlineStr">
        <is>
          <t>S03</t>
        </is>
      </c>
      <c r="B4" s="4" t="inlineStr">
        <is>
          <t>重庆市生态环境局转载：2021净土保卫战回顾</t>
        </is>
      </c>
      <c r="C4" s="4" t="inlineStr">
        <is>
          <t>2022-01-29</t>
        </is>
      </c>
      <c r="D4" s="4" t="inlineStr">
        <is>
          <t>地方厅局转载</t>
        </is>
      </c>
      <c r="E4" s="6" t="inlineStr">
        <is>
          <t>打开来源</t>
        </is>
      </c>
      <c r="F4" s="4" t="inlineStr">
        <is>
          <t>2021年先期开展68个国家级化工园区和9个重点铅锌矿区调查评估，截至2021年12月全部完成现场调查。</t>
        </is>
      </c>
    </row>
    <row r="5" ht="48" customHeight="1">
      <c r="A5" s="4" t="inlineStr">
        <is>
          <t>S04</t>
        </is>
      </c>
      <c r="B5" s="4" t="inlineStr">
        <is>
          <t>宁夏生态环境厅转载中国环境报权威解读</t>
        </is>
      </c>
      <c r="C5" s="4" t="inlineStr">
        <is>
          <t>2025-04-02</t>
        </is>
      </c>
      <c r="D5" s="4" t="inlineStr">
        <is>
          <t>地方厅局转载/专家解读</t>
        </is>
      </c>
      <c r="E5" s="6" t="inlineStr">
        <is>
          <t>打开来源</t>
        </is>
      </c>
      <c r="F5" s="4" t="inlineStr">
        <is>
          <t>2021-2022年完成全国化工园区地下水环境状况调查评估；部分园区污染问题突出；选择12个典型园区管控修复试点。</t>
        </is>
      </c>
    </row>
    <row r="6" ht="48" customHeight="1">
      <c r="A6" s="4" t="inlineStr">
        <is>
          <t>S05</t>
        </is>
      </c>
      <c r="B6" s="4" t="inlineStr">
        <is>
          <t>生态环境部2026年度部门预算</t>
        </is>
      </c>
      <c r="C6" s="4" t="inlineStr">
        <is>
          <t>2026-04</t>
        </is>
      </c>
      <c r="D6" s="4" t="inlineStr">
        <is>
          <t>部委预算/绩效指标</t>
        </is>
      </c>
      <c r="E6" s="6" t="inlineStr">
        <is>
          <t>打开来源</t>
        </is>
      </c>
      <c r="F6" s="4" t="inlineStr">
        <is>
          <t>2026年度绩效指标：指导开展化工园区地下水污染专项整治数量399个；地下水国控点位I-IV类水比例不低于76%。</t>
        </is>
      </c>
    </row>
    <row r="7" ht="48" customHeight="1">
      <c r="A7" s="4" t="inlineStr">
        <is>
          <t>S06</t>
        </is>
      </c>
      <c r="B7" s="4" t="inlineStr">
        <is>
          <t>云南省级化工园区地下水基础环境状况调查评估</t>
        </is>
      </c>
      <c r="C7" s="4" t="inlineStr">
        <is>
          <t>2025-10-08</t>
        </is>
      </c>
      <c r="D7" s="4" t="inlineStr">
        <is>
          <t>项目承接单位案例</t>
        </is>
      </c>
      <c r="E7" s="6" t="inlineStr">
        <is>
          <t>打开来源</t>
        </is>
      </c>
      <c r="F7" s="4" t="inlineStr">
        <is>
          <t>安宁、富民、澄江、寻甸、泸西等5个园区；测绘1062.62km2；监测井163眼；样品检测953组；检测指标122项。</t>
        </is>
      </c>
    </row>
    <row r="8" ht="48" customHeight="1">
      <c r="A8" s="4" t="inlineStr">
        <is>
          <t>S07</t>
        </is>
      </c>
      <c r="B8" s="4" t="inlineStr">
        <is>
          <t>湖北宜昌沿长江典型化工园区项目验收</t>
        </is>
      </c>
      <c r="C8" s="4" t="inlineStr">
        <is>
          <t>2021-11-05</t>
        </is>
      </c>
      <c r="D8" s="4" t="inlineStr">
        <is>
          <t>项目验收新闻</t>
        </is>
      </c>
      <c r="E8" s="6" t="inlineStr">
        <is>
          <t>打开来源</t>
        </is>
      </c>
      <c r="F8" s="4" t="inlineStr">
        <is>
          <t>宜昌7个化工园区地下水及土壤环境质量现状项目通过验收；中央水污染防治资金项目。</t>
        </is>
      </c>
    </row>
    <row r="9" ht="48" customHeight="1">
      <c r="A9" s="4" t="inlineStr">
        <is>
          <t>S08</t>
        </is>
      </c>
      <c r="B9" s="4" t="inlineStr">
        <is>
          <t>云浮第二批重点地下水双源调查完成</t>
        </is>
      </c>
      <c r="C9" s="4" t="inlineStr">
        <is>
          <t>2024-03-29</t>
        </is>
      </c>
      <c r="D9" s="4" t="inlineStr">
        <is>
          <t>地方生态环境局公告</t>
        </is>
      </c>
      <c r="E9" s="6" t="inlineStr">
        <is>
          <t>打开来源</t>
        </is>
      </c>
      <c r="F9" s="4" t="inlineStr">
        <is>
          <t>10个重点地下水污染源含1个工业园区；调查面积约40km2；新布设监测井68眼，其中工业园区16眼。</t>
        </is>
      </c>
    </row>
    <row r="10" ht="48" customHeight="1">
      <c r="A10" s="4" t="inlineStr">
        <is>
          <t>S09</t>
        </is>
      </c>
      <c r="B10" s="4" t="inlineStr">
        <is>
          <t>烟台地下水入海监测提案答复</t>
        </is>
      </c>
      <c r="C10" s="4" t="inlineStr">
        <is>
          <t>2022-05-25</t>
        </is>
      </c>
      <c r="D10" s="4" t="inlineStr">
        <is>
          <t>地方政府提案答复</t>
        </is>
      </c>
      <c r="E10" s="6" t="inlineStr">
        <is>
          <t>打开来源</t>
        </is>
      </c>
      <c r="F10" s="4" t="inlineStr">
        <is>
          <t>2021年6个化工园区和6个化工集聚区调查；现场踏勘97.65km2；水井调查164眼；监测井104眼；样品检测126件。</t>
        </is>
      </c>
    </row>
    <row r="11" ht="48" customHeight="1">
      <c r="A11" s="4" t="inlineStr">
        <is>
          <t>S10</t>
        </is>
      </c>
      <c r="B11" s="4" t="inlineStr">
        <is>
          <t>辽宁省化工园区调查评估启动</t>
        </is>
      </c>
      <c r="C11" s="4" t="inlineStr">
        <is>
          <t>2021-11-02</t>
        </is>
      </c>
      <c r="D11" s="4" t="inlineStr">
        <is>
          <t>省级生态环境厅新闻</t>
        </is>
      </c>
      <c r="E11" s="6" t="inlineStr">
        <is>
          <t>打开来源</t>
        </is>
      </c>
      <c r="F11" s="4" t="inlineStr">
        <is>
          <t>第一眼地下水环境监测井在营口仙人岛经济开发区开钻；营口、沈阳化工园区开始进场采样。</t>
        </is>
      </c>
    </row>
    <row r="12" ht="48" customHeight="1">
      <c r="A12" s="4" t="inlineStr">
        <is>
          <t>S11</t>
        </is>
      </c>
      <c r="B12" s="4" t="inlineStr">
        <is>
          <t>辽宁省2022年度部门决算</t>
        </is>
      </c>
      <c r="C12" s="4" t="inlineStr">
        <is>
          <t>2023-09</t>
        </is>
      </c>
      <c r="D12" s="4" t="inlineStr">
        <is>
          <t>省级决算/绩效</t>
        </is>
      </c>
      <c r="E12" s="6" t="inlineStr">
        <is>
          <t>打开来源</t>
        </is>
      </c>
      <c r="F12" s="4" t="inlineStr">
        <is>
          <t>化工园区地下水环境状况调查评估项目预算66万元、执行43万元；年度目标32个，完成21个。</t>
        </is>
      </c>
    </row>
    <row r="13" ht="48" customHeight="1">
      <c r="A13" s="4" t="inlineStr">
        <is>
          <t>S12</t>
        </is>
      </c>
      <c r="B13" s="4" t="inlineStr">
        <is>
          <t>辽阳芳烃基地详细调查评估及溯源批复</t>
        </is>
      </c>
      <c r="C13" s="4" t="inlineStr">
        <is>
          <t>2023-04-21</t>
        </is>
      </c>
      <c r="D13" s="4" t="inlineStr">
        <is>
          <t>省级生态环境厅批复</t>
        </is>
      </c>
      <c r="E13" s="6" t="inlineStr">
        <is>
          <t>打开来源</t>
        </is>
      </c>
      <c r="F13" s="4" t="inlineStr">
        <is>
          <t>同意实施辽阳芳烃及精细化工产业基地详细调查评估及地下水污染溯源，查清污染羽范围和污染成因。</t>
        </is>
      </c>
    </row>
    <row r="14" ht="48" customHeight="1">
      <c r="A14" s="4" t="inlineStr">
        <is>
          <t>S13</t>
        </is>
      </c>
      <c r="B14" s="4" t="inlineStr">
        <is>
          <t>河南沿黄工业园区水污染治理文章</t>
        </is>
      </c>
      <c r="C14" s="4" t="inlineStr">
        <is>
          <t>2023-11-20</t>
        </is>
      </c>
      <c r="D14" s="4" t="inlineStr">
        <is>
          <t>省级生态环境厅文章</t>
        </is>
      </c>
      <c r="E14" s="6" t="inlineStr">
        <is>
          <t>打开来源</t>
        </is>
      </c>
      <c r="F14" s="4" t="inlineStr">
        <is>
          <t>完成37个国家、省级化工园区地下水环境调查评估及成果集成，推进分级管理。</t>
        </is>
      </c>
    </row>
    <row r="15" ht="48" customHeight="1">
      <c r="A15" s="4" t="inlineStr">
        <is>
          <t>S14</t>
        </is>
      </c>
      <c r="B15" s="4" t="inlineStr">
        <is>
          <t>陕西2021年生态环境状况公报</t>
        </is>
      </c>
      <c r="C15" s="4" t="inlineStr">
        <is>
          <t>2022-06-02</t>
        </is>
      </c>
      <c r="D15" s="4" t="inlineStr">
        <is>
          <t>省级环境状况公报</t>
        </is>
      </c>
      <c r="E15" s="6" t="inlineStr">
        <is>
          <t>打开来源</t>
        </is>
      </c>
      <c r="F15" s="4" t="inlineStr">
        <is>
          <t>启动陕西省化工园区地下水环境状况调查评估，完成4个化工园区调查评估工作。</t>
        </is>
      </c>
    </row>
    <row r="16" ht="48" customHeight="1">
      <c r="A16" s="4" t="inlineStr">
        <is>
          <t>S15</t>
        </is>
      </c>
      <c r="B16" s="4" t="inlineStr">
        <is>
          <t>陕西土壤地下水新闻发布会</t>
        </is>
      </c>
      <c r="C16" s="4" t="inlineStr">
        <is>
          <t>2023-07-21</t>
        </is>
      </c>
      <c r="D16" s="4" t="inlineStr">
        <is>
          <t>省级新闻发布会</t>
        </is>
      </c>
      <c r="E16" s="6" t="inlineStr">
        <is>
          <t>打开来源</t>
        </is>
      </c>
      <c r="F16" s="4" t="inlineStr">
        <is>
          <t>已完成全省23个化工产业聚集区地下水污染状况调查评估，并推进成果应用。</t>
        </is>
      </c>
    </row>
    <row r="17" ht="48" customHeight="1">
      <c r="A17" s="4" t="inlineStr">
        <is>
          <t>S16</t>
        </is>
      </c>
      <c r="B17" s="4" t="inlineStr">
        <is>
          <t>六安叶集化工园区评估报告通过评审</t>
        </is>
      </c>
      <c r="C17" s="4" t="inlineStr">
        <is>
          <t>2022-08-02</t>
        </is>
      </c>
      <c r="D17" s="4" t="inlineStr">
        <is>
          <t>市级生态环境局新闻</t>
        </is>
      </c>
      <c r="E17" s="6" t="inlineStr">
        <is>
          <t>打开来源</t>
        </is>
      </c>
      <c r="F17" s="4" t="inlineStr">
        <is>
          <t>六安叶集化工园区调查方案及成果报告组织专家评审，建井和采样环节现场监督指导。</t>
        </is>
      </c>
    </row>
    <row r="18" ht="48" customHeight="1">
      <c r="A18" s="4" t="inlineStr">
        <is>
          <t>S17</t>
        </is>
      </c>
      <c r="B18" s="4" t="inlineStr">
        <is>
          <t>上海青浦工业园区调查评估通知</t>
        </is>
      </c>
      <c r="C18" s="4" t="inlineStr">
        <is>
          <t>2022-07-27</t>
        </is>
      </c>
      <c r="D18" s="4" t="inlineStr">
        <is>
          <t>区级政府通知</t>
        </is>
      </c>
      <c r="E18" s="6" t="inlineStr">
        <is>
          <t>打开来源</t>
        </is>
      </c>
      <c r="F18" s="4" t="inlineStr">
        <is>
          <t>要求建立一园一档、一企一档、一园一方案、一园一报告，并采集企业和监测井资料。</t>
        </is>
      </c>
    </row>
    <row r="19" ht="48" customHeight="1">
      <c r="A19" s="4" t="inlineStr">
        <is>
          <t>S18</t>
        </is>
      </c>
      <c r="B19" s="4" t="inlineStr">
        <is>
          <t>福建莆田石门澳化工新材料产业园采购公告</t>
        </is>
      </c>
      <c r="C19" s="4" t="inlineStr">
        <is>
          <t>2022-04-26</t>
        </is>
      </c>
      <c r="D19" s="4" t="inlineStr">
        <is>
          <t>政府采购公告</t>
        </is>
      </c>
      <c r="E19" s="6" t="inlineStr">
        <is>
          <t>打开来源</t>
        </is>
      </c>
      <c r="F19" s="4" t="inlineStr">
        <is>
          <t>预算165万元；范围为园区及周边1km；新增钻探取样孔不少于36个；土壤样108个+平行11个；地下水样39个+平行4个。</t>
        </is>
      </c>
    </row>
    <row r="20" ht="48" customHeight="1">
      <c r="A20" s="4" t="inlineStr">
        <is>
          <t>S19</t>
        </is>
      </c>
      <c r="B20" s="4" t="inlineStr">
        <is>
          <t>临湘高新区地下水详细调查评估比选公告</t>
        </is>
      </c>
      <c r="C20" s="4" t="inlineStr">
        <is>
          <t>2025-11-06</t>
        </is>
      </c>
      <c r="D20" s="4" t="inlineStr">
        <is>
          <t>地方政府项目公告</t>
        </is>
      </c>
      <c r="E20" s="6" t="inlineStr">
        <is>
          <t>打开来源</t>
        </is>
      </c>
      <c r="F20" s="4" t="inlineStr">
        <is>
          <t>临湘高新区滨江片区和三湾片区详细调查，确定污染物种类、浓度和空间分布，开展风险评估。</t>
        </is>
      </c>
    </row>
    <row r="21" ht="48" customHeight="1">
      <c r="A21" s="4" t="inlineStr">
        <is>
          <t>S20</t>
        </is>
      </c>
      <c r="B21" s="4" t="inlineStr">
        <is>
          <t>湖南省土壤地下水资金项目评审公示</t>
        </is>
      </c>
      <c r="C21" s="4" t="inlineStr">
        <is>
          <t>2025-03-05</t>
        </is>
      </c>
      <c r="D21" s="4" t="inlineStr">
        <is>
          <t>省级资金项目公示</t>
        </is>
      </c>
      <c r="E21" s="6" t="inlineStr">
        <is>
          <t>打开来源</t>
        </is>
      </c>
      <c r="F21" s="4" t="inlineStr">
        <is>
          <t>临湘高新区滨江片区和三湾片区地下水环境状况详细调查评估项目推荐入中央储备库。</t>
        </is>
      </c>
    </row>
    <row r="22" ht="48" customHeight="1">
      <c r="A22" s="4" t="inlineStr">
        <is>
          <t>S21</t>
        </is>
      </c>
      <c r="B22" s="4" t="inlineStr">
        <is>
          <t>苏尼特左旗产业园区地下水环境状况招标文件</t>
        </is>
      </c>
      <c r="C22" s="4" t="inlineStr">
        <is>
          <t>2024-04-22</t>
        </is>
      </c>
      <c r="D22" s="4" t="inlineStr">
        <is>
          <t>政府采购招标文件</t>
        </is>
      </c>
      <c r="E22" s="6" t="inlineStr">
        <is>
          <t>打开来源</t>
        </is>
      </c>
      <c r="F22" s="4" t="inlineStr">
        <is>
          <t>工作内容覆盖资料编研、遥感解译、野外调查、钻探建井、样品采集测试、数值模拟。</t>
        </is>
      </c>
    </row>
    <row r="23" ht="48" customHeight="1">
      <c r="A23" s="4" t="inlineStr">
        <is>
          <t>S22</t>
        </is>
      </c>
      <c r="B23" s="4" t="inlineStr">
        <is>
          <t>浙江桐乡经济开发区化工园区详细调查招标公告</t>
        </is>
      </c>
      <c r="C23" s="4" t="inlineStr">
        <is>
          <t>2023-06-01</t>
        </is>
      </c>
      <c r="D23" s="4" t="inlineStr">
        <is>
          <t>政府采购公告</t>
        </is>
      </c>
      <c r="E23" s="6" t="inlineStr">
        <is>
          <t>打开来源</t>
        </is>
      </c>
      <c r="F23" s="4" t="inlineStr">
        <is>
          <t>预算150万元；对桐乡经开区化工园区地块土壤和地下水开展现状调查，数据录入国家地下水基础环境状况调查评估子系统。</t>
        </is>
      </c>
    </row>
    <row r="24" ht="48" customHeight="1">
      <c r="A24" s="4" t="inlineStr">
        <is>
          <t>S23</t>
        </is>
      </c>
      <c r="B24" s="4" t="inlineStr">
        <is>
          <t>淮南经开化工园区详细调查评估竞争性磋商公告</t>
        </is>
      </c>
      <c r="C24" s="4" t="inlineStr">
        <is>
          <t>2024-06</t>
        </is>
      </c>
      <c r="D24" s="4" t="inlineStr">
        <is>
          <t>政府采购公告</t>
        </is>
      </c>
      <c r="E24" s="6" t="inlineStr">
        <is>
          <t>打开来源</t>
        </is>
      </c>
      <c r="F24" s="4" t="inlineStr">
        <is>
          <t>预算28万元；针对2021年省级调查评估过程中超标点位开展详细调查评估，编制方案及评价报告书。</t>
        </is>
      </c>
    </row>
    <row r="25" ht="48" customHeight="1">
      <c r="A25" s="4" t="inlineStr">
        <is>
          <t>S24</t>
        </is>
      </c>
      <c r="B25" s="4" t="inlineStr">
        <is>
          <t>苏州化工园区地下水调查市级质控项目公开</t>
        </is>
      </c>
      <c r="C25" s="4" t="inlineStr">
        <is>
          <t>2022-03-21</t>
        </is>
      </c>
      <c r="D25" s="4" t="inlineStr">
        <is>
          <t>市级生态环境局购买服务公开</t>
        </is>
      </c>
      <c r="E25" s="6" t="inlineStr">
        <is>
          <t>打开来源</t>
        </is>
      </c>
      <c r="F25" s="4" t="inlineStr">
        <is>
          <t>合同金额74.88万元；对2022年化工园区调查评估资料收集、方案编制、建井取样、分析检测、报告编制开展外审抽查。</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s>
  <pageMargins left="0.75" right="0.75" top="1" bottom="1" header="0.5" footer="0.5"/>
  <tableParts count="1">
    <tablePart xmlns:r="http://schemas.openxmlformats.org/officeDocument/2006/relationships" r:id="rId2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2026-05-19T09:01:02Z</dcterms:created>
  <dcterms:modified xmlns:dcterms="http://purl.org/dc/terms/" xmlns:xsi="http://www.w3.org/2001/XMLSchema-instance" xsi:type="dcterms:W3CDTF">2026-05-19T09:01:02Z</dcterms:modified>
</cp:coreProperties>
</file>